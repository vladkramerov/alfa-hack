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fdc84fc5a748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тоги" sheetId="1" r:id="R807c5a295b3e432e"/>
    <x:sheet xmlns:r="http://schemas.openxmlformats.org/officeDocument/2006/relationships" name="Запуски" sheetId="2" r:id="R8cedfd14e28141b2"/>
    <x:sheet xmlns:r="http://schemas.openxmlformats.org/officeDocument/2006/relationships" name="Optuna" sheetId="3" r:id="R64abc23ffa3949ac"/>
    <x:sheet xmlns:r="http://schemas.openxmlformats.org/officeDocument/2006/relationships" name="Параметры" sheetId="4" r:id="R35c097dd2a2a40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.00"/>
    <x:numFmt numFmtId="202" formatCode="0.00E+00"/>
  </x:numFmts>
  <x:fonts count="7">
    <x:font>
      <x:sz val="11"/>
      <x:name val="Carlito"/>
    </x:font>
    <x:font>
      <x:b/>
      <x:sz val="14"/>
      <x:color rgb="FF202A35"/>
      <x:name val="Arial"/>
    </x:font>
    <x:font>
      <x:i/>
      <x:sz val="10"/>
      <x:color rgb="FF596575"/>
      <x:name val="Arial"/>
    </x:font>
    <x:font>
      <x:sz val="10"/>
      <x:color rgb="FF202A35"/>
      <x:name val="Arial"/>
    </x:font>
    <x:font>
      <x:b/>
      <x:sz val="10"/>
      <x:color rgb="FFFFFFFF"/>
      <x:name val="Arial"/>
    </x:font>
    <x:font>
      <x:sz val="10"/>
      <x:color rgb="FF596575"/>
      <x:name val="Arial"/>
    </x:font>
    <x:font>
      <x:b/>
      <x:sz val="1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384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">
    <x:dxf>
      <x:font>
        <x:color rgb="FF23553C"/>
      </x:font>
      <x:fill>
        <x:patternFill patternType="solid">
          <x:bgColor rgb="FFE4F0E8"/>
        </x:patternFill>
      </x:fill>
    </x:dxf>
    <x:dxf>
      <x:font>
        <x:color rgb="FF8D3F33"/>
      </x:font>
      <x:fill>
        <x:patternFill patternType="solid">
          <x:bgColor rgb="FFF8E9E6"/>
        </x:patternFill>
      </x:fill>
    </x:dxf>
    <x:dxf>
      <x:font>
        <x:color rgb="FF23553C"/>
      </x:font>
      <x:fill>
        <x:patternFill patternType="solid">
          <x:bgColor rgb="FFE4F0E8"/>
        </x:patternFill>
      </x:fill>
    </x:dxf>
    <x:dxf>
      <x:font>
        <x:color rgb="FF8D3F33"/>
      </x:font>
      <x:fill>
        <x:patternFill patternType="solid">
          <x:bgColor rgb="FFF8E9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b993337f63490f" /><Relationship Type="http://schemas.openxmlformats.org/officeDocument/2006/relationships/theme" Target="/xl/theme/theme1.xml" Id="R044b994a7b644e68" /><Relationship Type="http://schemas.microsoft.com/office/2022/11/relationships/FeaturePropertyBag" Target="/xl/featurePropertyBag/featurePropertyBag.xml" Id="Re4b8a77cdd254c4b" /><Relationship Type="http://schemas.openxmlformats.org/officeDocument/2006/relationships/sharedStrings" Target="/xl/sharedStrings.xml" Id="R49f53f1161564db2" /><Relationship Type="http://schemas.openxmlformats.org/officeDocument/2006/relationships/worksheet" Target="/xl/worksheets/sheet1.xml" Id="R807c5a295b3e432e" /><Relationship Type="http://schemas.openxmlformats.org/officeDocument/2006/relationships/worksheet" Target="/xl/worksheets/sheet2.xml" Id="R8cedfd14e28141b2" /><Relationship Type="http://schemas.openxmlformats.org/officeDocument/2006/relationships/worksheet" Target="/xl/worksheets/sheet3.xml" Id="R64abc23ffa3949ac" /><Relationship Type="http://schemas.openxmlformats.org/officeDocument/2006/relationships/worksheet" Target="/xl/worksheets/sheet4.xml" Id="R35c097dd2a2a409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2" name="Leaders" displayName="Leaders" ref="A6:E8" headerRowCount="1" totalsRowCount="0" totalsRowShown="0">
  <x:autoFilter ref="A6:E8"/>
  <x:tableColumns count="5">
    <x:tableColumn id="1" name="Задача"/>
    <x:tableColumn id="2" name="Лучшая модель"/>
    <x:tableColumn id="3" name="Метрика"/>
    <x:tableColumn id="4" name="Значение"/>
    <x:tableColumn id="5" name="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Hypotheses" displayName="Hypotheses" ref="A12:H20" headerRowCount="1" totalsRowCount="0" totalsRowShown="0">
  <x:autoFilter ref="A12:H20"/>
  <x:tableColumns count="8">
    <x:tableColumn id="1" name="Гипотеза"/>
    <x:tableColumn id="2" name="Задача"/>
    <x:tableColumn id="3" name="Что изменили"/>
    <x:tableColumn id="4" name="Контроль"/>
    <x:tableColumn id="5" name="Результат"/>
    <x:tableColumn id="6" name="Улучшение"/>
    <x:tableColumn id="7" name="Вывод"/>
    <x:tableColumn id="8" name="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Sensitivity" displayName="Sensitivity" ref="A24:H28" headerRowCount="1" totalsRowCount="0" totalsRowShown="0">
  <x:autoFilter ref="A24:H28"/>
  <x:tableColumns count="8">
    <x:tableColumn id="1" name="Роль"/>
    <x:tableColumn id="2" name="Задача"/>
    <x:tableColumn id="3" name="Разделение"/>
    <x:tableColumn id="4" name="Метрика"/>
    <x:tableColumn id="5" name="Значение"/>
    <x:tableColumn id="6" name="Улучшение"/>
    <x:tableColumn id="7" name="Вывод"/>
    <x:tableColumn id="8" name="Описание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AllExperiments" displayName="AllExperiments" ref="A6:R39" headerRowCount="1" totalsRowCount="0" totalsRowShown="0">
  <x:autoFilter ref="A6:R39"/>
  <x:tableColumns count="18">
    <x:tableColumn id="1" name="ID"/>
    <x:tableColumn id="2" name="Задача"/>
    <x:tableColumn id="3" name="RMSE ↓"/>
    <x:tableColumn id="4" name="Macro F1 ↑"/>
    <x:tableColumn id="5" name="Accuracy"/>
    <x:tableColumn id="6" name="Weighted F1"/>
    <x:tableColumn id="7" name="Модель"/>
    <x:tableColumn id="8" name="Что изменили"/>
    <x:tableColumn id="9" name="Основные параметры"/>
    <x:tableColumn id="10" name="Разделение"/>
    <x:tableColumn id="11" name="Контроль"/>
    <x:tableColumn id="12" name="Метрика контроля"/>
    <x:tableColumn id="13" name="Улучшение"/>
    <x:tableColumn id="14" name="Вывод"/>
    <x:tableColumn id="15" name="Время с компонентами, с"/>
    <x:tableColumn id="16" name="Тип проверки"/>
    <x:tableColumn id="17" name="Commit"/>
    <x:tableColumn id="18" name="Источник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ptunaAttempts" displayName="OptunaAttempts" ref="A6:J22" headerRowCount="1" totalsRowCount="0" totalsRowShown="0">
  <x:autoFilter ref="A6:J22"/>
  <x:tableColumns count="10">
    <x:tableColumn id="1" name="ID"/>
    <x:tableColumn id="2" name="Задача"/>
    <x:tableColumn id="3" name="Trial"/>
    <x:tableColumn id="4" name="Метрика"/>
    <x:tableColumn id="5" name="Значение"/>
    <x:tableColumn id="6" name="Параметры"/>
    <x:tableColumn id="7" name="Время, с"/>
    <x:tableColumn id="8" name="Статус"/>
    <x:tableColumn id="9" name="Повтор trial"/>
    <x:tableColumn id="10" name="Источник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nfigurations" displayName="Configurations" ref="A6:D590" headerRowCount="1" totalsRowCount="0" totalsRowShown="0">
  <x:autoFilter ref="A6:D590"/>
  <x:tableColumns count="4">
    <x:tableColumn id="1" name="ID запуска"/>
    <x:tableColumn id="2" name="Параметр / сведения"/>
    <x:tableColumn id="3" name="Значение"/>
    <x:tableColumn id="4" name="Источни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d4454203934dcb" /><Relationship Type="http://schemas.openxmlformats.org/officeDocument/2006/relationships/table" Target="/xl/tables/table2.xml" Id="R9170238094184dcc" /><Relationship Type="http://schemas.openxmlformats.org/officeDocument/2006/relationships/table" Target="/xl/tables/table3.xml" Id="R02213249f2724a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10aa7065d4fa48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fd1091a1852546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8424ecbc14e448ed" /></Relationships>
</file>

<file path=xl/worksheets/sheet1.xml><?xml version="1.0" encoding="utf-8"?>
<x:worksheet xmlns:x="http://schemas.openxmlformats.org/spreadsheetml/2006/main">
  <x:sheetPr>
    <x:tabColor rgb="FF273849"/>
  </x:sheetPr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64" hidden="0" customWidth="1"/>
    <x:col min="4" max="4" width="17" hidden="0" customWidth="1"/>
    <x:col min="5" max="5" width="17" hidden="0" customWidth="1"/>
    <x:col min="6" max="6" width="17" hidden="0" customWidth="1"/>
    <x:col min="7" max="7" width="27" hidden="0" customWidth="1"/>
    <x:col min="8" max="8" width="36" hidden="0" customWidth="1"/>
  </x:cols>
  <x:sheetData>
    <x:row r="2">
      <x:c r="A2" s="1" t="str">
        <x:v>Эксперименты ML-хакатона — 21 октября 2026</x:v>
      </x:c>
    </x:row>
    <x:row r="4">
      <x:c r="A4" s="2" t="str">
        <x:v>Все показатели локальные. Ответы скрытого test неизвестны.</x:v>
      </x:c>
    </x:row>
    <x:row r="6" ht="34" customHeight="1">
      <x:c r="A6" s="8" t="str">
        <x:v>Задача</x:v>
      </x:c>
      <x:c r="B6" s="8" t="str">
        <x:v>Лучшая модель</x:v>
      </x:c>
      <x:c r="C6" s="8" t="str">
        <x:v>Метрика</x:v>
      </x:c>
      <x:c r="D6" s="8" t="str">
        <x:v>Значение</x:v>
      </x:c>
      <x:c r="E6" s="8" t="str">
        <x:v>ID</x:v>
      </x:c>
    </x:row>
    <x:row r="7" ht="44" customHeight="1">
      <x:c r="A7" s="9" t="str">
        <x:v>Регрессия</x:v>
      </x:c>
      <x:c r="B7" s="9" t="str">
        <x:v>CatBoostRegressor</x:v>
      </x:c>
      <x:c r="C7" s="9" t="str">
        <x:v>rmse</x:v>
      </x:c>
      <x:c r="D7" s="10" t="n">
        <x:f>INDEX('Запуски'!$C$7:$C$39,MATCH("H4-zero-year",'Запуски'!$A$7:$A$39,0))</x:f>
        <x:v>43.0046386479306</x:v>
      </x:c>
      <x:c r="E7" s="9" t="str">
        <x:v>H4-zero-year</x:v>
      </x:c>
    </x:row>
    <x:row r="8" ht="44" customHeight="1">
      <x:c r="A8" s="9" t="str">
        <x:v>Классификация</x:v>
      </x:c>
      <x:c r="B8" s="9" t="str">
        <x:v>RandomForestClassifier</x:v>
      </x:c>
      <x:c r="C8" s="9" t="str">
        <x:v>macro_f1</x:v>
      </x:c>
      <x:c r="D8" s="10" t="n">
        <x:f>INDEX('Запуски'!$D$7:$D$39,MATCH("H5-flow-ratios",'Запуски'!$A$7:$A$39,0))</x:f>
        <x:v>0.628620730127727</x:v>
      </x:c>
      <x:c r="E8" s="9" t="str">
        <x:v>H5-flow-ratios</x:v>
      </x:c>
    </x:row>
    <x:row r="9">
      <x:c r="A9" s="13" t="str">
        <x:v>Ориентиры с учётом дополнительной проверки: регрессия — нулевой год как пропуск; классификация — прежний лес.</x:v>
      </x:c>
    </x:row>
    <x:row r="10">
      <x:c r="A10" s="14" t="str">
        <x:v>Проверенные гипотезы</x:v>
      </x:c>
    </x:row>
    <x:row r="12" ht="34" customHeight="1">
      <x:c r="A12" s="8" t="str">
        <x:v>Гипотеза</x:v>
      </x:c>
      <x:c r="B12" s="8" t="str">
        <x:v>Задача</x:v>
      </x:c>
      <x:c r="C12" s="8" t="str">
        <x:v>Что изменили</x:v>
      </x:c>
      <x:c r="D12" s="8" t="str">
        <x:v>Контроль</x:v>
      </x:c>
      <x:c r="E12" s="8" t="str">
        <x:v>Результат</x:v>
      </x:c>
      <x:c r="F12" s="8" t="str">
        <x:v>Улучшение</x:v>
      </x:c>
      <x:c r="G12" s="8" t="str">
        <x:v>Вывод</x:v>
      </x:c>
      <x:c r="H12" s="8" t="str">
        <x:v>ID</x:v>
      </x:c>
    </x:row>
    <x:row r="13" ht="44" customHeight="1">
      <x:c r="A13" s="9" t="str">
        <x:v>H1</x:v>
      </x:c>
      <x:c r="B13" s="9" t="str">
        <x:v>Классификация</x:v>
      </x:c>
      <x:c r="C13" s="9" t="str">
        <x:v>Только class_weight=balanced</x:v>
      </x:c>
      <x:c r="D13" s="10" t="n">
        <x:f>INDEX('Запуски'!$D$7:$D$39,MATCH("C00-forest-control",'Запуски'!$A$7:$A$39,0))</x:f>
        <x:v>0.628538470153851</x:v>
      </x:c>
      <x:c r="E13" s="10" t="n">
        <x:f>INDEX('Запуски'!$D$7:$D$39,MATCH("H1-balanced-forest",'Запуски'!$A$7:$A$39,0))</x:f>
        <x:v>0.6133163856531635</x:v>
      </x:c>
      <x:c r="F13" s="10" t="n">
        <x:f>E13-D13</x:f>
        <x:v>-0.015222084500687516</x:v>
      </x:c>
      <x:c r="G13" s="9" t="str">
        <x:v>Хуже контроля</x:v>
      </x:c>
      <x:c r="H13" s="9" t="str">
        <x:v>H1-balanced-forest</x:v>
      </x:c>
    </x:row>
    <x:row r="14" ht="44" customHeight="1">
      <x:c r="A14" s="9" t="str">
        <x:v>H2</x:v>
      </x:c>
      <x:c r="B14" s="9" t="str">
        <x:v>Регрессия</x:v>
      </x:c>
      <x:c r="C14" s="9" t="str">
        <x:v>Нативные категории CatBoost вместо OneHotEncoder</x:v>
      </x:c>
      <x:c r="D14" s="10" t="n">
        <x:f>INDEX('Запуски'!$C$7:$C$39,MATCH("R00-catboost-control",'Запуски'!$A$7:$A$39,0))</x:f>
        <x:v>45.93583634208973</x:v>
      </x:c>
      <x:c r="E14" s="10" t="n">
        <x:f>INDEX('Запуски'!$C$7:$C$39,MATCH("H2-native-regression",'Запуски'!$A$7:$A$39,0))</x:f>
        <x:v>51.31822671778022</x:v>
      </x:c>
      <x:c r="F14" s="10" t="n">
        <x:f>D14-E14</x:f>
        <x:v>-5.382390375690491</x:v>
      </x:c>
      <x:c r="G14" s="9" t="str">
        <x:v>Хуже контроля</x:v>
      </x:c>
      <x:c r="H14" s="9" t="str">
        <x:v>H2-native-regression</x:v>
      </x:c>
    </x:row>
    <x:row r="15" ht="44" customHeight="1">
      <x:c r="A15" s="9" t="str">
        <x:v>H2</x:v>
      </x:c>
      <x:c r="B15" s="9" t="str">
        <x:v>Классификация</x:v>
      </x:c>
      <x:c r="C15" s="9" t="str">
        <x:v>Нативные категории CatBoost вместо OneHotEncoder</x:v>
      </x:c>
      <x:c r="D15" s="10" t="n">
        <x:f>INDEX('Запуски'!$D$7:$D$39,MATCH("C00-catboost-control",'Запуски'!$A$7:$A$39,0))</x:f>
        <x:v>0.5340999478722075</x:v>
      </x:c>
      <x:c r="E15" s="10" t="n">
        <x:f>INDEX('Запуски'!$D$7:$D$39,MATCH("H2-native-multiclass",'Запуски'!$A$7:$A$39,0))</x:f>
        <x:v>0.5417317719703455</x:v>
      </x:c>
      <x:c r="F15" s="10" t="n">
        <x:f>E15-D15</x:f>
        <x:v>0.007631824098138007</x:v>
      </x:c>
      <x:c r="G15" s="9" t="str">
        <x:v>Лучше контроля</x:v>
      </x:c>
      <x:c r="H15" s="9" t="str">
        <x:v>H2-native-multiclass</x:v>
      </x:c>
    </x:row>
    <x:row r="16" ht="44" customHeight="1">
      <x:c r="A16" s="9" t="str">
        <x:v>H3</x:v>
      </x:c>
      <x:c r="B16" s="9" t="str">
        <x:v>Регрессия</x:v>
      </x:c>
      <x:c r="C16" s="9" t="str">
        <x:v>Шесть индикаторов пропусков; прочее без изменений</x:v>
      </x:c>
      <x:c r="D16" s="10" t="n">
        <x:f>INDEX('Запуски'!$C$7:$C$39,MATCH("R00-catboost-control",'Запуски'!$A$7:$A$39,0))</x:f>
        <x:v>45.93583634208973</x:v>
      </x:c>
      <x:c r="E16" s="10" t="n">
        <x:f>INDEX('Запуски'!$C$7:$C$39,MATCH("H3-missing-flags",'Запуски'!$A$7:$A$39,0))</x:f>
        <x:v>46.80246419128978</x:v>
      </x:c>
      <x:c r="F16" s="10" t="n">
        <x:f>D16-E16</x:f>
        <x:v>-0.8666278492000501</x:v>
      </x:c>
      <x:c r="G16" s="9" t="str">
        <x:v>Хуже контроля</x:v>
      </x:c>
      <x:c r="H16" s="9" t="str">
        <x:v>H3-missing-flags</x:v>
      </x:c>
    </x:row>
    <x:row r="17" ht="44" customHeight="1">
      <x:c r="A17" s="9" t="str">
        <x:v>H4</x:v>
      </x:c>
      <x:c r="B17" s="9" t="str">
        <x:v>Регрессия</x:v>
      </x:c>
      <x:c r="C17" s="9" t="str">
        <x:v>Только year_built=0 заменён на пропуск</x:v>
      </x:c>
      <x:c r="D17" s="10" t="n">
        <x:f>INDEX('Запуски'!$C$7:$C$39,MATCH("R00-catboost-control",'Запуски'!$A$7:$A$39,0))</x:f>
        <x:v>45.93583634208973</x:v>
      </x:c>
      <x:c r="E17" s="10" t="n">
        <x:f>INDEX('Запуски'!$C$7:$C$39,MATCH("H4-zero-year",'Запуски'!$A$7:$A$39,0))</x:f>
        <x:v>43.0046386479306</x:v>
      </x:c>
      <x:c r="F17" s="10" t="n">
        <x:f>D17-E17</x:f>
        <x:v>2.931197694159131</x:v>
      </x:c>
      <x:c r="G17" s="9" t="str">
        <x:v>Лучше контроля</x:v>
      </x:c>
      <x:c r="H17" s="9" t="str">
        <x:v>H4-zero-year</x:v>
      </x:c>
    </x:row>
    <x:row r="18" ht="44" customHeight="1">
      <x:c r="A18" s="9" t="str">
        <x:v>H5</x:v>
      </x:c>
      <x:c r="B18" s="9" t="str">
        <x:v>Классификация</x:v>
      </x:c>
      <x:c r="C18" s="9" t="str">
        <x:v>Четыре отношения объёмов/пакетов, знаменатель +1</x:v>
      </x:c>
      <x:c r="D18" s="10" t="n">
        <x:f>INDEX('Запуски'!$D$7:$D$39,MATCH("C00-forest-control",'Запуски'!$A$7:$A$39,0))</x:f>
        <x:v>0.628538470153851</x:v>
      </x:c>
      <x:c r="E18" s="10" t="n">
        <x:f>INDEX('Запуски'!$D$7:$D$39,MATCH("H5-flow-ratios",'Запуски'!$A$7:$A$39,0))</x:f>
        <x:v>0.628620730127727</x:v>
      </x:c>
      <x:c r="F18" s="10" t="n">
        <x:f>E18-D18</x:f>
        <x:v>0.00008225997387600881</x:v>
      </x:c>
      <x:c r="G18" s="9" t="str">
        <x:v>Лучше контроля</x:v>
      </x:c>
      <x:c r="H18" s="9" t="str">
        <x:v>H5-flow-ratios</x:v>
      </x:c>
    </x:row>
    <x:row r="19" ht="44" customHeight="1">
      <x:c r="A19" s="9" t="str">
        <x:v>H6</x:v>
      </x:c>
      <x:c r="B19" s="9" t="str">
        <x:v>Регрессия</x:v>
      </x:c>
      <x:c r="C19" s="9" t="str">
        <x:v>Среднее прогнозов исходных леса и CatBoost, веса 50/50</x:v>
      </x:c>
      <x:c r="D19" s="10" t="n">
        <x:f>INDEX('Запуски'!$C$7:$C$39,MATCH("R00-catboost-control",'Запуски'!$A$7:$A$39,0))</x:f>
        <x:v>45.93583634208973</x:v>
      </x:c>
      <x:c r="E19" s="10" t="n">
        <x:f>INDEX('Запуски'!$C$7:$C$39,MATCH("H6-ensemble-regression",'Запуски'!$A$7:$A$39,0))</x:f>
        <x:v>44.61680775576098</x:v>
      </x:c>
      <x:c r="F19" s="10" t="n">
        <x:f>D19-E19</x:f>
        <x:v>1.3190285863287485</x:v>
      </x:c>
      <x:c r="G19" s="9" t="str">
        <x:v>Лучше контроля</x:v>
      </x:c>
      <x:c r="H19" s="9" t="str">
        <x:v>H6-ensemble-regression</x:v>
      </x:c>
    </x:row>
    <x:row r="20" ht="44" customHeight="1">
      <x:c r="A20" s="9" t="str">
        <x:v>H6</x:v>
      </x:c>
      <x:c r="B20" s="9" t="str">
        <x:v>Классификация</x:v>
      </x:c>
      <x:c r="C20" s="9" t="str">
        <x:v>Среднее вероятностей исходных леса и CatBoost, веса 50/50</x:v>
      </x:c>
      <x:c r="D20" s="10" t="n">
        <x:f>INDEX('Запуски'!$D$7:$D$39,MATCH("C00-forest-control",'Запуски'!$A$7:$A$39,0))</x:f>
        <x:v>0.628538470153851</x:v>
      </x:c>
      <x:c r="E20" s="10" t="n">
        <x:f>INDEX('Запуски'!$D$7:$D$39,MATCH("H6-ensemble-multiclass",'Запуски'!$A$7:$A$39,0))</x:f>
        <x:v>0.5788370836114318</x:v>
      </x:c>
      <x:c r="F20" s="10" t="n">
        <x:f>E20-D20</x:f>
        <x:v>-0.04970138654241918</x:v>
      </x:c>
      <x:c r="G20" s="9" t="str">
        <x:v>Хуже контроля</x:v>
      </x:c>
      <x:c r="H20" s="9" t="str">
        <x:v>H6-ensemble-multiclass</x:v>
      </x:c>
    </x:row>
    <x:row r="22">
      <x:c r="A22" s="14" t="str">
        <x:v>Чувствительность к разделению данных</x:v>
      </x:c>
    </x:row>
    <x:row r="24" ht="34" customHeight="1">
      <x:c r="A24" s="8" t="str">
        <x:v>Роль</x:v>
      </x:c>
      <x:c r="B24" s="8" t="str">
        <x:v>Задача</x:v>
      </x:c>
      <x:c r="C24" s="8" t="str">
        <x:v>Разделение</x:v>
      </x:c>
      <x:c r="D24" s="8" t="str">
        <x:v>Метрика</x:v>
      </x:c>
      <x:c r="E24" s="8" t="str">
        <x:v>Значение</x:v>
      </x:c>
      <x:c r="F24" s="8" t="str">
        <x:v>Улучшение</x:v>
      </x:c>
      <x:c r="G24" s="8" t="str">
        <x:v>Вывод</x:v>
      </x:c>
      <x:c r="H24" s="8" t="str">
        <x:v>Описание</x:v>
      </x:c>
    </x:row>
    <x:row r="25" ht="44" customHeight="1">
      <x:c r="A25" s="9" t="str">
        <x:v>Контроль</x:v>
      </x:c>
      <x:c r="B25" s="9" t="str">
        <x:v>Регрессия</x:v>
      </x:c>
      <x:c r="C25" s="9" t="str">
        <x:v>Year_Factor &lt; 4 train; == 4 validation</x:v>
      </x:c>
      <x:c r="D25" s="9" t="str">
        <x:v>rmse</x:v>
      </x:c>
      <x:c r="E25" s="10" t="n">
        <x:f>INDEX('Запуски'!$C$7:$C$39,MATCH("S-regression-control",'Запуски'!$A$7:$A$39,0))</x:f>
        <x:v>45.51876878464039</x:v>
      </x:c>
      <x:c r="F25" s="10"/>
      <x:c r="G25" s="9" t="str">
        <x:v>Исходный ориентир / без парного сравнения</x:v>
      </x:c>
      <x:c r="H25" s="9" t="str">
        <x:v>Контроль на дополнительном разделении</x:v>
      </x:c>
    </x:row>
    <x:row r="26" ht="44" customHeight="1">
      <x:c r="A26" s="9" t="str">
        <x:v>Кандидат</x:v>
      </x:c>
      <x:c r="B26" s="9" t="str">
        <x:v>Регрессия</x:v>
      </x:c>
      <x:c r="C26" s="9" t="str">
        <x:v>Year_Factor &lt; 4 train; == 4 validation</x:v>
      </x:c>
      <x:c r="D26" s="9" t="str">
        <x:v>rmse</x:v>
      </x:c>
      <x:c r="E26" s="10" t="n">
        <x:f>INDEX('Запуски'!$C$7:$C$39,MATCH("S-regression-candidate",'Запуски'!$A$7:$A$39,0))</x:f>
        <x:v>45.31673513065655</x:v>
      </x:c>
      <x:c r="F26" s="10" t="n">
        <x:f>INDEX('Запуски'!$C$7:$C$39,MATCH("S-regression-control",'Запуски'!$A$7:$A$39,0))-E26</x:f>
        <x:v>0.20203365398384676</x:v>
      </x:c>
      <x:c r="G26" s="9" t="str">
        <x:v>Лучше контроля</x:v>
      </x:c>
      <x:c r="H26" s="9" t="str">
        <x:v>Кандидат H4-zero-year на дополнительном разделении</x:v>
      </x:c>
    </x:row>
    <x:row r="27" ht="44" customHeight="1">
      <x:c r="A27" s="9" t="str">
        <x:v>Контроль</x:v>
      </x:c>
      <x:c r="B27" s="9" t="str">
        <x:v>Классификация</x:v>
      </x:c>
      <x:c r="C27" s="9" t="str">
        <x:v>stratified 80/20; random_state=2026</x:v>
      </x:c>
      <x:c r="D27" s="9" t="str">
        <x:v>macro_f1</x:v>
      </x:c>
      <x:c r="E27" s="10" t="n">
        <x:f>INDEX('Запуски'!$D$7:$D$39,MATCH("S-multiclass-control",'Запуски'!$A$7:$A$39,0))</x:f>
        <x:v>0.6082047994072377</x:v>
      </x:c>
      <x:c r="F27" s="10"/>
      <x:c r="G27" s="9" t="str">
        <x:v>Исходный ориентир / без парного сравнения</x:v>
      </x:c>
      <x:c r="H27" s="9" t="str">
        <x:v>Контроль на дополнительном разделении</x:v>
      </x:c>
    </x:row>
    <x:row r="28" ht="44" customHeight="1">
      <x:c r="A28" s="9" t="str">
        <x:v>Кандидат</x:v>
      </x:c>
      <x:c r="B28" s="9" t="str">
        <x:v>Классификация</x:v>
      </x:c>
      <x:c r="C28" s="9" t="str">
        <x:v>stratified 80/20; random_state=2026</x:v>
      </x:c>
      <x:c r="D28" s="9" t="str">
        <x:v>macro_f1</x:v>
      </x:c>
      <x:c r="E28" s="10" t="n">
        <x:f>INDEX('Запуски'!$D$7:$D$39,MATCH("S-multiclass-candidate",'Запуски'!$A$7:$A$39,0))</x:f>
        <x:v>0.6013008205545127</x:v>
      </x:c>
      <x:c r="F28" s="10" t="n">
        <x:f>E28-INDEX('Запуски'!$D$7:$D$39,MATCH("S-multiclass-control",'Запуски'!$A$7:$A$39,0))</x:f>
        <x:v>-0.006903978852724979</x:v>
      </x:c>
      <x:c r="G28" s="9" t="str">
        <x:v>Хуже контроля</x:v>
      </x:c>
      <x:c r="H28" s="9" t="str">
        <x:v>Кандидат H5-flow-ratios на дополнительном разделении</x:v>
      </x:c>
    </x:row>
    <x:row r="31">
      <x:c r="A31" s="13" t="str">
        <x:v>Положительное улучшение означает выигрыш относительно указанного контроля.</x:v>
      </x:c>
      <x:c r="B31" s="13"/>
      <x:c r="C31" s="13"/>
      <x:c r="D31" s="13"/>
      <x:c r="E31" s="13"/>
      <x:c r="F31" s="13"/>
      <x:c r="G31" s="13"/>
      <x:c r="H31" s="13"/>
    </x:row>
    <x:row r="32">
      <x:c r="A32" s="13" t="str">
        <x:v>Год 4 уже использовался в Optuna; случайные split пересекаются. Это проверка чувствительности, не независимый тест.</x:v>
      </x:c>
      <x:c r="B32" s="13"/>
      <x:c r="C32" s="13"/>
      <x:c r="D32" s="13"/>
      <x:c r="E32" s="13"/>
      <x:c r="F32" s="13"/>
      <x:c r="G32" s="13"/>
      <x:c r="H32" s="13"/>
    </x:row>
    <x:row r="33">
      <x:c r="A33" s="13" t="str">
        <x:v>Технические повторы и неудачная диагностика сохранены в журнале и не являются новыми подтверждениями.</x:v>
      </x:c>
      <x:c r="B33" s="13"/>
      <x:c r="C33" s="13"/>
      <x:c r="D33" s="13"/>
      <x:c r="E33" s="13"/>
      <x:c r="F33" s="13"/>
      <x:c r="G33" s="13"/>
      <x:c r="H33" s="13"/>
    </x:row>
  </x:sheetData>
  <x:conditionalFormatting sqref="F13:F20">
    <x:cfRule type="cellIs" dxfId="2" priority="1" operator="greaterThan">
      <x:formula>1e-10</x:formula>
    </x:cfRule>
    <x:cfRule type="cellIs" dxfId="3" priority="2" operator="lessThan">
      <x:formula>-1e-10</x:formula>
    </x:cfRule>
  </x:conditionalFormatting>
  <x:pageMargins left="0.7" right="0.7" top="0.75" bottom="0.75" header="0.3" footer="0.3"/>
  <x:tableParts count="3">
    <x:tablePart xmlns:r="http://schemas.openxmlformats.org/officeDocument/2006/relationships" r:id="R30d4454203934dcb"/>
    <x:tablePart xmlns:r="http://schemas.openxmlformats.org/officeDocument/2006/relationships" r:id="R9170238094184dcc"/>
    <x:tablePart xmlns:r="http://schemas.openxmlformats.org/officeDocument/2006/relationships" r:id="R02213249f2724a23"/>
  </x:tableParts>
</x:worksheet>
</file>

<file path=xl/worksheets/sheet2.xml><?xml version="1.0" encoding="utf-8"?>
<x:worksheet xmlns:x="http://schemas.openxmlformats.org/spreadsheetml/2006/main">
  <x:sheetPr>
    <x:tabColor rgb="FF61788E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8" hidden="0" customWidth="1"/>
    <x:col min="2" max="2" width="19" hidden="0" customWidth="1"/>
    <x:col min="3" max="3" width="15" hidden="0" customWidth="1"/>
    <x:col min="4" max="4" width="15" hidden="0" customWidth="1"/>
    <x:col min="5" max="5" width="14" hidden="0" customWidth="1"/>
    <x:col min="6" max="6" width="16" hidden="0" customWidth="1"/>
    <x:col min="7" max="7" width="30" hidden="0" customWidth="1"/>
    <x:col min="8" max="8" width="60" hidden="0" customWidth="1"/>
    <x:col min="9" max="9" width="62" hidden="0" customWidth="1"/>
    <x:col min="10" max="10" width="43" hidden="0" customWidth="1"/>
    <x:col min="11" max="11" width="46" hidden="0" customWidth="1"/>
    <x:col min="12" max="12" width="18" hidden="0" customWidth="1"/>
    <x:col min="13" max="13" width="18" hidden="0" customWidth="1"/>
    <x:col min="14" max="14" width="36" hidden="0" customWidth="1"/>
    <x:col min="15" max="15" width="23" hidden="0" customWidth="1"/>
    <x:col min="16" max="16" width="28" hidden="0" customWidth="1"/>
    <x:col min="17" max="17" width="15" hidden="0" customWidth="1"/>
    <x:col min="18" max="18" width="66" hidden="0" customWidth="1"/>
  </x:cols>
  <x:sheetData>
    <x:row r="2">
      <x:c r="A2" s="1" t="str">
        <x:v>Полный журнал экспериментов</x:v>
      </x:c>
    </x:row>
    <x:row r="4">
      <x:c r="A4" s="2" t="str">
        <x:v>Пустая метрика означает «не относится» или «не измерялась». Другие split и диагностика отмечены отдельно.</x:v>
      </x:c>
    </x:row>
    <x:row r="6" ht="34" customHeight="1">
      <x:c r="A6" s="8" t="str">
        <x:v>ID</x:v>
      </x:c>
      <x:c r="B6" s="8" t="str">
        <x:v>Задача</x:v>
      </x:c>
      <x:c r="C6" s="8" t="str">
        <x:v>RMSE ↓</x:v>
      </x:c>
      <x:c r="D6" s="8" t="str">
        <x:v>Macro F1 ↑</x:v>
      </x:c>
      <x:c r="E6" s="8" t="str">
        <x:v>Accuracy</x:v>
      </x:c>
      <x:c r="F6" s="8" t="str">
        <x:v>Weighted F1</x:v>
      </x:c>
      <x:c r="G6" s="8" t="str">
        <x:v>Модель</x:v>
      </x:c>
      <x:c r="H6" s="8" t="str">
        <x:v>Что изменили</x:v>
      </x:c>
      <x:c r="I6" s="8" t="str">
        <x:v>Основные параметры</x:v>
      </x:c>
      <x:c r="J6" s="8" t="str">
        <x:v>Разделение</x:v>
      </x:c>
      <x:c r="K6" s="8" t="str">
        <x:v>Контроль</x:v>
      </x:c>
      <x:c r="L6" s="8" t="str">
        <x:v>Метрика контроля</x:v>
      </x:c>
      <x:c r="M6" s="8" t="str">
        <x:v>Улучшение</x:v>
      </x:c>
      <x:c r="N6" s="8" t="str">
        <x:v>Вывод</x:v>
      </x:c>
      <x:c r="O6" s="8" t="str">
        <x:v>Время с компонентами, с</x:v>
      </x:c>
      <x:c r="P6" s="8" t="str">
        <x:v>Тип проверки</x:v>
      </x:c>
      <x:c r="Q6" s="8" t="str">
        <x:v>Commit</x:v>
      </x:c>
      <x:c r="R6" s="8" t="str">
        <x:v>Источник</x:v>
      </x:c>
    </x:row>
    <x:row r="7" ht="44" customHeight="1">
      <x:c r="A7" s="9" t="str">
        <x:v>constant-regression-reference</x:v>
      </x:c>
      <x:c r="B7" s="9" t="str">
        <x:v>Регрессия</x:v>
      </x:c>
      <x:c r="C7" s="10" t="n">
        <x:v>56.79943183188593</x:v>
      </x:c>
      <x:c r="D7" s="10"/>
      <x:c r="E7" s="10"/>
      <x:c r="F7" s="10"/>
      <x:c r="G7" s="9" t="str">
        <x:v>DummyRegressor</x:v>
      </x:c>
      <x:c r="H7" s="9" t="str">
        <x:v>Постоянное среднее train</x:v>
      </x:c>
      <x:c r="I7" s="9" t="str">
        <x:v>strategy=mean</x:v>
      </x:c>
      <x:c r="J7" s="9" t="str">
        <x:v>Year_Factor &lt; 5 train; == 5 validation</x:v>
      </x:c>
      <x:c r="K7" s="9"/>
      <x:c r="L7" s="10"/>
      <x:c r="M7" s="10"/>
      <x:c r="N7" s="9" t="str">
        <x:v>Простой ориентир, вычислен внутри первого запуска</x:v>
      </x:c>
      <x:c r="O7" s="11"/>
      <x:c r="P7" s="9" t="str">
        <x:v>Основная валидация</x:v>
      </x:c>
      <x:c r="Q7" s="9" t="str">
        <x:v>не записан</x:v>
      </x:c>
      <x:c r="R7" s="9" t="str">
        <x:v>reports/regression-20261021-195542.json</x:v>
      </x:c>
    </x:row>
    <x:row r="8" ht="44" customHeight="1">
      <x:c r="A8" s="9" t="str">
        <x:v>constant-multiclass-reference</x:v>
      </x:c>
      <x:c r="B8" s="9" t="str">
        <x:v>Классификация</x:v>
      </x:c>
      <x:c r="C8" s="10"/>
      <x:c r="D8" s="10" t="n">
        <x:v>0.048413590386444195</x:v>
      </x:c>
      <x:c r="E8" s="10"/>
      <x:c r="F8" s="10"/>
      <x:c r="G8" s="9" t="str">
        <x:v>DummyClassifier</x:v>
      </x:c>
      <x:c r="H8" s="9" t="str">
        <x:v>Всегда самый частый класс train</x:v>
      </x:c>
      <x:c r="I8" s="9" t="str">
        <x:v>strategy=most_frequent</x:v>
      </x:c>
      <x:c r="J8" s="9" t="str">
        <x:v>stratified 80/20; random_state=42</x:v>
      </x:c>
      <x:c r="K8" s="9"/>
      <x:c r="L8" s="10"/>
      <x:c r="M8" s="10"/>
      <x:c r="N8" s="9" t="str">
        <x:v>Простой ориентир, вычислен внутри первого запуска</x:v>
      </x:c>
      <x:c r="O8" s="11"/>
      <x:c r="P8" s="9" t="str">
        <x:v>Основная валидация</x:v>
      </x:c>
      <x:c r="Q8" s="9" t="str">
        <x:v>не записан</x:v>
      </x:c>
      <x:c r="R8" s="9" t="str">
        <x:v>reports/multiclass-20261021-195652.json</x:v>
      </x:c>
    </x:row>
    <x:row r="9" ht="44" customHeight="1">
      <x:c r="A9" s="9" t="str">
        <x:v>regression-20261021-195542</x:v>
      </x:c>
      <x:c r="B9" s="9" t="str">
        <x:v>Регрессия</x:v>
      </x:c>
      <x:c r="C9" s="10" t="n">
        <x:v>50.079635494578994</x:v>
      </x:c>
      <x:c r="D9" s="10"/>
      <x:c r="E9" s="10"/>
      <x:c r="F9" s="10"/>
      <x:c r="G9" s="9" t="str">
        <x:v>Ridge</x:v>
      </x:c>
      <x:c r="H9" s="9" t="str">
        <x:v>Первый линейный ориентир; Ridge</x:v>
      </x:c>
      <x:c r="I9" s="9" t="str">
        <x:v>alpha=1; solver=lsqr; tol=1e-6 (восстановлено по коду первого этапа)</x:v>
      </x:c>
      <x:c r="J9" s="9" t="str">
        <x:v>Year_Factor &lt; 5 train; == 5 validation</x:v>
      </x:c>
      <x:c r="K9" s="9"/>
      <x:c r="L9" s="10"/>
      <x:c r="M9" s="10"/>
      <x:c r="N9" s="9" t="str">
        <x:v>Исходный ориентир / без парного сравнения</x:v>
      </x:c>
      <x:c r="O9" s="11" t="n">
        <x:v>2</x:v>
      </x:c>
      <x:c r="P9" s="9" t="str">
        <x:v>Основная валидация</x:v>
      </x:c>
      <x:c r="Q9" s="9" t="str">
        <x:v>не записан</x:v>
      </x:c>
      <x:c r="R9" s="9" t="str">
        <x:v>reports/regression-20261021-195542.json</x:v>
      </x:c>
    </x:row>
    <x:row r="10" ht="44" customHeight="1">
      <x:c r="A10" s="9" t="str">
        <x:v>multiclass-20261021-195652</x:v>
      </x:c>
      <x:c r="B10" s="9" t="str">
        <x:v>Классификация</x:v>
      </x:c>
      <x:c r="C10" s="10"/>
      <x:c r="D10" s="10" t="n">
        <x:v>0.4288518821725383</x:v>
      </x:c>
      <x:c r="E10" s="10" t="n">
        <x:v>0.7731835291433786</x:v>
      </x:c>
      <x:c r="F10" s="10" t="n">
        <x:v>0.7560984216904937</x:v>
      </x:c>
      <x:c r="G10" s="9" t="str">
        <x:v>LogisticRegression</x:v>
      </x:c>
      <x:c r="H10" s="9" t="str">
        <x:v>Первый линейный классификатор</x:v>
      </x:c>
      <x:c r="I10" s="9" t="str">
        <x:v>solver=lbfgs; max_iter=3000; random_state=42 (по коду первого этапа)</x:v>
      </x:c>
      <x:c r="J10" s="9" t="str">
        <x:v>stratified 80/20; random_state=42</x:v>
      </x:c>
      <x:c r="K10" s="9"/>
      <x:c r="L10" s="10"/>
      <x:c r="M10" s="10"/>
      <x:c r="N10" s="9" t="str">
        <x:v>Исходный ориентир / без парного сравнения</x:v>
      </x:c>
      <x:c r="O10" s="11" t="n">
        <x:v>23.26</x:v>
      </x:c>
      <x:c r="P10" s="9" t="str">
        <x:v>Основная валидация</x:v>
      </x:c>
      <x:c r="Q10" s="9" t="str">
        <x:v>не записан</x:v>
      </x:c>
      <x:c r="R10" s="9" t="str">
        <x:v>reports/multiclass-20261021-195652.json</x:v>
      </x:c>
    </x:row>
    <x:row r="11" ht="44" customHeight="1">
      <x:c r="A11" s="9" t="str">
        <x:v>regression-forest-20261021-stage2</x:v>
      </x:c>
      <x:c r="B11" s="9" t="str">
        <x:v>Регрессия</x:v>
      </x:c>
      <x:c r="C11" s="10" t="n">
        <x:v>47.470727845698555</x:v>
      </x:c>
      <x:c r="D11" s="10"/>
      <x:c r="E11" s="10"/>
      <x:c r="F11" s="10"/>
      <x:c r="G11" s="9" t="str">
        <x:v>RandomForestRegressor</x:v>
      </x:c>
      <x:c r="H11" s="9" t="str">
        <x:v>Замена линейной модели на Random Forest</x:v>
      </x:c>
      <x:c r="I11" s="9" t="str">
        <x:v>n_estimators=150; max_depth=20; min_samples_leaf=2; max_features=0.8</x:v>
      </x:c>
      <x:c r="J11" s="9" t="str">
        <x:v>Year_Factor &lt; 5 train; == 5 validation</x:v>
      </x:c>
      <x:c r="K11" s="9"/>
      <x:c r="L11" s="10"/>
      <x:c r="M11" s="10"/>
      <x:c r="N11" s="9" t="str">
        <x:v>Исходный ориентир / без парного сравнения</x:v>
      </x:c>
      <x:c r="O11" s="11" t="n">
        <x:v>30.29</x:v>
      </x:c>
      <x:c r="P11" s="9" t="str">
        <x:v>Основная валидация</x:v>
      </x:c>
      <x:c r="Q11" s="9" t="str">
        <x:v>9658f1a2</x:v>
      </x:c>
      <x:c r="R11" s="9" t="str">
        <x:v>reports/regression-forest-20261021-stage2.json</x:v>
      </x:c>
    </x:row>
    <x:row r="12" ht="44" customHeight="1">
      <x:c r="A12" s="9" t="str">
        <x:v>multiclass-forest-20261021-stage2</x:v>
      </x:c>
      <x:c r="B12" s="9" t="str">
        <x:v>Классификация</x:v>
      </x:c>
      <x:c r="C12" s="10"/>
      <x:c r="D12" s="10" t="n">
        <x:v>0.628538470153851</x:v>
      </x:c>
      <x:c r="E12" s="10" t="n">
        <x:v>0.8291319721683587</x:v>
      </x:c>
      <x:c r="F12" s="10" t="n">
        <x:v>0.8176709366119328</x:v>
      </x:c>
      <x:c r="G12" s="9" t="str">
        <x:v>RandomForestClassifier</x:v>
      </x:c>
      <x:c r="H12" s="9" t="str">
        <x:v>Замена линейной модели на Random Forest</x:v>
      </x:c>
      <x:c r="I12" s="9" t="str">
        <x:v>n_estimators=150; max_depth=20; min_samples_leaf=2; max_features=0.8; class_weight=None</x:v>
      </x:c>
      <x:c r="J12" s="9" t="str">
        <x:v>stratified 80/20; random_state=42</x:v>
      </x:c>
      <x:c r="K12" s="9"/>
      <x:c r="L12" s="10"/>
      <x:c r="M12" s="10"/>
      <x:c r="N12" s="9" t="str">
        <x:v>Исходный ориентир / без парного сравнения</x:v>
      </x:c>
      <x:c r="O12" s="11" t="n">
        <x:v>95.6</x:v>
      </x:c>
      <x:c r="P12" s="9" t="str">
        <x:v>Основная валидация</x:v>
      </x:c>
      <x:c r="Q12" s="9" t="str">
        <x:v>9658f1a2</x:v>
      </x:c>
      <x:c r="R12" s="9" t="str">
        <x:v>reports/multiclass-forest-20261021-stage2.json</x:v>
      </x:c>
    </x:row>
    <x:row r="13" ht="44" customHeight="1">
      <x:c r="A13" s="9" t="str">
        <x:v>regression-boosting-20261021-stage3</x:v>
      </x:c>
      <x:c r="B13" s="9" t="str">
        <x:v>Регрессия</x:v>
      </x:c>
      <x:c r="C13" s="10" t="n">
        <x:v>45.93583634208973</x:v>
      </x:c>
      <x:c r="D13" s="10"/>
      <x:c r="E13" s="10"/>
      <x:c r="F13" s="10"/>
      <x:c r="G13" s="9" t="str">
        <x:v>CatBoostRegressor</x:v>
      </x:c>
      <x:c r="H13" s="9" t="str">
        <x:v>Замена модели на CatBoost; категории OneHotEncoder</x:v>
      </x:c>
      <x:c r="I13" s="9" t="str">
        <x:v>iterations=500; depth=6; learning_rate=0.05; l2_leaf_reg=3.0</x:v>
      </x:c>
      <x:c r="J13" s="9" t="str">
        <x:v>Year_Factor &lt; 5 train; == 5 validation</x:v>
      </x:c>
      <x:c r="K13" s="9"/>
      <x:c r="L13" s="10"/>
      <x:c r="M13" s="10"/>
      <x:c r="N13" s="9" t="str">
        <x:v>Исходный ориентир / без парного сравнения</x:v>
      </x:c>
      <x:c r="O13" s="11" t="n">
        <x:v>8.49</x:v>
      </x:c>
      <x:c r="P13" s="9" t="str">
        <x:v>Основная валидация</x:v>
      </x:c>
      <x:c r="Q13" s="9" t="str">
        <x:v>b19d8e0b</x:v>
      </x:c>
      <x:c r="R13" s="9" t="str">
        <x:v>reports/regression-boosting-20261021-stage3.json</x:v>
      </x:c>
    </x:row>
    <x:row r="14" ht="44" customHeight="1">
      <x:c r="A14" s="9" t="str">
        <x:v>multiclass-boosting-20261021-stage3</x:v>
      </x:c>
      <x:c r="B14" s="9" t="str">
        <x:v>Классификация</x:v>
      </x:c>
      <x:c r="C14" s="10"/>
      <x:c r="D14" s="10" t="n">
        <x:v>0.5340999478722075</x:v>
      </x:c>
      <x:c r="E14" s="10" t="n">
        <x:v>0.8191513630660431</x:v>
      </x:c>
      <x:c r="F14" s="10" t="n">
        <x:v>0.7959417457781833</x:v>
      </x:c>
      <x:c r="G14" s="9" t="str">
        <x:v>CatBoostClassifier</x:v>
      </x:c>
      <x:c r="H14" s="9" t="str">
        <x:v>Замена модели на CatBoost; категории OneHotEncoder</x:v>
      </x:c>
      <x:c r="I14" s="9" t="str">
        <x:v>iterations=500; depth=6; learning_rate=0.05; l2_leaf_reg=3.0</x:v>
      </x:c>
      <x:c r="J14" s="9" t="str">
        <x:v>stratified 80/20; random_state=42</x:v>
      </x:c>
      <x:c r="K14" s="9"/>
      <x:c r="L14" s="10"/>
      <x:c r="M14" s="10"/>
      <x:c r="N14" s="9" t="str">
        <x:v>Исходный ориентир / без парного сравнения</x:v>
      </x:c>
      <x:c r="O14" s="11" t="n">
        <x:v>87.81</x:v>
      </x:c>
      <x:c r="P14" s="9" t="str">
        <x:v>Основная валидация</x:v>
      </x:c>
      <x:c r="Q14" s="9" t="str">
        <x:v>b19d8e0b</x:v>
      </x:c>
      <x:c r="R14" s="9" t="str">
        <x:v>reports/multiclass-boosting-20261021-stage3.json</x:v>
      </x:c>
    </x:row>
    <x:row r="15" ht="44" customHeight="1">
      <x:c r="A15" s="9" t="str">
        <x:v>regression-optuna-20261021-stage4-candidate</x:v>
      </x:c>
      <x:c r="B15" s="9" t="str">
        <x:v>Регрессия</x:v>
      </x:c>
      <x:c r="C15" s="10" t="n">
        <x:v>46.924137940373335</x:v>
      </x:c>
      <x:c r="D15" s="10"/>
      <x:c r="E15" s="10"/>
      <x:c r="F15" s="10"/>
      <x:c r="G15" s="9" t="str">
        <x:v>CatBoostRegressor</x:v>
      </x:c>
      <x:c r="H15" s="9" t="str">
        <x:v>Лучший по внутренней проверке кандидат Optuna, до решения о сохранении</x:v>
      </x:c>
      <x:c r="I15" s="9" t="str">
        <x:v>{"depth": 8, "iterations": 700, "l2_leaf_reg": 3.7888252014533643, "learning_rate": 0.10390991237859405}</x:v>
      </x:c>
      <x:c r="J15" s="9" t="str">
        <x:v>Year_Factor &lt; 5 train; == 5 validation</x:v>
      </x:c>
      <x:c r="K15" s="9" t="str">
        <x:v>regression-optuna-20261021-stage4-incumbent</x:v>
      </x:c>
      <x:c r="L15" s="10" t="n">
        <x:v>45.93583634208973</x:v>
      </x:c>
      <x:c r="M15" s="10" t="n">
        <x:f>L15-C15</x:f>
        <x:v>-0.9883015982836056</x:v>
      </x:c>
      <x:c r="N15" s="9" t="str">
        <x:v>Кандидат отклонён</x:v>
      </x:c>
      <x:c r="O15" s="11"/>
      <x:c r="P15" s="9" t="str">
        <x:v>Основная валидация</x:v>
      </x:c>
      <x:c r="Q15" s="9" t="str">
        <x:v>a3ab6b96</x:v>
      </x:c>
      <x:c r="R15" s="9" t="str">
        <x:v>reports/regression-optuna-20261021-stage4.json</x:v>
      </x:c>
    </x:row>
    <x:row r="16" ht="44" customHeight="1">
      <x:c r="A16" s="9" t="str">
        <x:v>regression-optuna-20261021-stage4</x:v>
      </x:c>
      <x:c r="B16" s="9" t="str">
        <x:v>Регрессия</x:v>
      </x:c>
      <x:c r="C16" s="10" t="n">
        <x:v>45.93583634208973</x:v>
      </x:c>
      <x:c r="D16" s="10"/>
      <x:c r="E16" s="10"/>
      <x:c r="F16" s="10"/>
      <x:c r="G16" s="9" t="str">
        <x:v>CatBoostRegressor</x:v>
      </x:c>
      <x:c r="H16" s="9" t="str">
        <x:v>Итог подбора: сохранена прежняя модель</x:v>
      </x:c>
      <x:c r="I16" s="9" t="str">
        <x:v>iterations=500; depth=6; learning_rate=0.05; l2_leaf_reg=3.0</x:v>
      </x:c>
      <x:c r="J16" s="9" t="str">
        <x:v>Year_Factor &lt; 5 train; == 5 validation</x:v>
      </x:c>
      <x:c r="K16" s="9"/>
      <x:c r="L16" s="10"/>
      <x:c r="M16" s="10"/>
      <x:c r="N16" s="9" t="str">
        <x:v>Подбор не улучшил основную метрику</x:v>
      </x:c>
      <x:c r="O16" s="11" t="n">
        <x:v>44.53</x:v>
      </x:c>
      <x:c r="P16" s="9" t="str">
        <x:v>Основная валидация</x:v>
      </x:c>
      <x:c r="Q16" s="9" t="str">
        <x:v>a3ab6b96</x:v>
      </x:c>
      <x:c r="R16" s="9" t="str">
        <x:v>reports/regression-optuna-20261021-stage4.json</x:v>
      </x:c>
    </x:row>
    <x:row r="17" ht="44" customHeight="1">
      <x:c r="A17" s="9" t="str">
        <x:v>multiclass-optuna-20261021-stage4-candidate</x:v>
      </x:c>
      <x:c r="B17" s="9" t="str">
        <x:v>Классификация</x:v>
      </x:c>
      <x:c r="C17" s="10"/>
      <x:c r="D17" s="10" t="n">
        <x:v>0.6203523622860305</x:v>
      </x:c>
      <x:c r="E17" s="10" t="n">
        <x:v>0.8252537926314589</x:v>
      </x:c>
      <x:c r="F17" s="10" t="n">
        <x:v>0.8159893285088261</x:v>
      </x:c>
      <x:c r="G17" s="9" t="str">
        <x:v>RandomForestClassifier</x:v>
      </x:c>
      <x:c r="H17" s="9" t="str">
        <x:v>Лучший по внутренней проверке кандидат Optuna, до решения о сохранении</x:v>
      </x:c>
      <x:c r="I17" s="9" t="str">
        <x:v>{"max_depth": 28, "max_features": 0.8, "min_samples_leaf": 4, "n_estimators": 100}</x:v>
      </x:c>
      <x:c r="J17" s="9" t="str">
        <x:v>stratified 80/20; random_state=42</x:v>
      </x:c>
      <x:c r="K17" s="9" t="str">
        <x:v>multiclass-optuna-20261021-stage4-incumbent</x:v>
      </x:c>
      <x:c r="L17" s="10" t="n">
        <x:v>0.628538470153851</x:v>
      </x:c>
      <x:c r="M17" s="10" t="n">
        <x:f>D17-L17</x:f>
        <x:v>-0.00818610786782048</x:v>
      </x:c>
      <x:c r="N17" s="9" t="str">
        <x:v>Кандидат отклонён</x:v>
      </x:c>
      <x:c r="O17" s="11"/>
      <x:c r="P17" s="9" t="str">
        <x:v>Основная валидация</x:v>
      </x:c>
      <x:c r="Q17" s="9" t="str">
        <x:v>a3ab6b96</x:v>
      </x:c>
      <x:c r="R17" s="9" t="str">
        <x:v>reports/multiclass-optuna-20261021-stage4.json</x:v>
      </x:c>
    </x:row>
    <x:row r="18" ht="44" customHeight="1">
      <x:c r="A18" s="9" t="str">
        <x:v>multiclass-optuna-20261021-stage4</x:v>
      </x:c>
      <x:c r="B18" s="9" t="str">
        <x:v>Классификация</x:v>
      </x:c>
      <x:c r="C18" s="10"/>
      <x:c r="D18" s="10" t="n">
        <x:v>0.628538470153851</x:v>
      </x:c>
      <x:c r="E18" s="10" t="n">
        <x:v>0.8291319721683587</x:v>
      </x:c>
      <x:c r="F18" s="10" t="n">
        <x:v>0.8176709366119328</x:v>
      </x:c>
      <x:c r="G18" s="9" t="str">
        <x:v>RandomForestClassifier</x:v>
      </x:c>
      <x:c r="H18" s="9" t="str">
        <x:v>Итог подбора: сохранена прежняя модель</x:v>
      </x:c>
      <x:c r="I18" s="9" t="str">
        <x:v>n_estimators=150; max_depth=20; min_samples_leaf=2; max_features=0.8; class_weight=None</x:v>
      </x:c>
      <x:c r="J18" s="9" t="str">
        <x:v>stratified 80/20; random_state=42</x:v>
      </x:c>
      <x:c r="K18" s="9"/>
      <x:c r="L18" s="10"/>
      <x:c r="M18" s="10"/>
      <x:c r="N18" s="9" t="str">
        <x:v>Подбор не улучшил основную метрику</x:v>
      </x:c>
      <x:c r="O18" s="11" t="n">
        <x:v>315.8</x:v>
      </x:c>
      <x:c r="P18" s="9" t="str">
        <x:v>Основная валидация</x:v>
      </x:c>
      <x:c r="Q18" s="9" t="str">
        <x:v>a3ab6b96</x:v>
      </x:c>
      <x:c r="R18" s="9" t="str">
        <x:v>reports/multiclass-optuna-20261021-stage4.json</x:v>
      </x:c>
    </x:row>
    <x:row r="19" ht="44" customHeight="1">
      <x:c r="A19" s="9" t="str">
        <x:v>C00-forest-control</x:v>
      </x:c>
      <x:c r="B19" s="9" t="str">
        <x:v>Классификация</x:v>
      </x:c>
      <x:c r="C19" s="10"/>
      <x:c r="D19" s="10" t="n">
        <x:v>0.628538470153851</x:v>
      </x:c>
      <x:c r="E19" s="10" t="n">
        <x:v>0.8291319721683587</x:v>
      </x:c>
      <x:c r="F19" s="10" t="n">
        <x:v>0.8176709366119328</x:v>
      </x:c>
      <x:c r="G19" s="9" t="str">
        <x:v>RandomForestClassifier</x:v>
      </x:c>
      <x:c r="H19" s="9" t="str">
        <x:v>Повтор прежнего Random Forest; контроль воспроизводимости</x:v>
      </x:c>
      <x:c r="I19" s="9" t="str">
        <x:v>n_estimators=150; max_depth=20; min_samples_leaf=2; max_features=0.8; class_weight=None</x:v>
      </x:c>
      <x:c r="J19" s="9" t="str">
        <x:v>stratified 80/20; random_state=42</x:v>
      </x:c>
      <x:c r="K19" s="9"/>
      <x:c r="L19" s="10"/>
      <x:c r="M19" s="10"/>
      <x:c r="N19" s="9" t="str">
        <x:v>Исходный ориентир / без парного сравнения</x:v>
      </x:c>
      <x:c r="O19" s="11" t="n">
        <x:v>79.36</x:v>
      </x:c>
      <x:c r="P19" s="9" t="str">
        <x:v>Основная валидация</x:v>
      </x:c>
      <x:c r="Q19" s="9" t="str">
        <x:v>e8ff7e7b</x:v>
      </x:c>
      <x:c r="R19" s="9" t="str">
        <x:v>reports/hypotheses-20261021-stage5/C00-forest-control.json</x:v>
      </x:c>
    </x:row>
    <x:row r="20" ht="44" customHeight="1">
      <x:c r="A20" s="9" t="str">
        <x:v>H1-balanced-forest</x:v>
      </x:c>
      <x:c r="B20" s="9" t="str">
        <x:v>Классификация</x:v>
      </x:c>
      <x:c r="C20" s="10"/>
      <x:c r="D20" s="10" t="n">
        <x:v>0.6133163856531635</x:v>
      </x:c>
      <x:c r="E20" s="10" t="n">
        <x:v>0.7784304779285959</x:v>
      </x:c>
      <x:c r="F20" s="10" t="n">
        <x:v>0.8036258092920007</x:v>
      </x:c>
      <x:c r="G20" s="9" t="str">
        <x:v>RandomForestClassifier</x:v>
      </x:c>
      <x:c r="H20" s="9" t="str">
        <x:v>Только class_weight=balanced</x:v>
      </x:c>
      <x:c r="I20" s="9" t="str">
        <x:v>n_estimators=150; max_depth=20; min_samples_leaf=2; max_features=0.8; class_weight=balanced</x:v>
      </x:c>
      <x:c r="J20" s="9" t="str">
        <x:v>stratified 80/20; random_state=42</x:v>
      </x:c>
      <x:c r="K20" s="9" t="str">
        <x:v>C00-forest-control</x:v>
      </x:c>
      <x:c r="L20" s="10" t="n">
        <x:f>INDEX('Запуски'!$D$7:$D$39,MATCH("C00-forest-control",'Запуски'!$A$7:$A$39,0))</x:f>
        <x:v>0.628538470153851</x:v>
      </x:c>
      <x:c r="M20" s="10" t="n">
        <x:f>D20-L20</x:f>
        <x:v>-0.015222084500687516</x:v>
      </x:c>
      <x:c r="N20" s="9" t="str">
        <x:v>Хуже контроля</x:v>
      </x:c>
      <x:c r="O20" s="11" t="n">
        <x:v>87.24</x:v>
      </x:c>
      <x:c r="P20" s="9" t="str">
        <x:v>Основная валидация</x:v>
      </x:c>
      <x:c r="Q20" s="9" t="str">
        <x:v>e8ff7e7b</x:v>
      </x:c>
      <x:c r="R20" s="9" t="str">
        <x:v>reports/hypotheses-20261021-stage5/H1-balanced-forest.json</x:v>
      </x:c>
    </x:row>
    <x:row r="21" ht="44" customHeight="1">
      <x:c r="A21" s="9" t="str">
        <x:v>R00-catboost-control</x:v>
      </x:c>
      <x:c r="B21" s="9" t="str">
        <x:v>Регрессия</x:v>
      </x:c>
      <x:c r="C21" s="10" t="n">
        <x:v>45.93583634208973</x:v>
      </x:c>
      <x:c r="D21" s="10"/>
      <x:c r="E21" s="10"/>
      <x:c r="F21" s="10"/>
      <x:c r="G21" s="9" t="str">
        <x:v>CatBoostRegressor</x:v>
      </x:c>
      <x:c r="H21" s="9" t="str">
        <x:v>Повтор CatBoost с OneHotEncoder; контроль</x:v>
      </x:c>
      <x:c r="I21" s="9" t="str">
        <x:v>iterations=500; depth=6; learning_rate=0.05; l2_leaf_reg=3.0</x:v>
      </x:c>
      <x:c r="J21" s="9" t="str">
        <x:v>Year_Factor &lt; 5 train; == 5 validation</x:v>
      </x:c>
      <x:c r="K21" s="9"/>
      <x:c r="L21" s="10"/>
      <x:c r="M21" s="10"/>
      <x:c r="N21" s="9" t="str">
        <x:v>Исходный ориентир / без парного сравнения</x:v>
      </x:c>
      <x:c r="O21" s="11" t="n">
        <x:v>6.91</x:v>
      </x:c>
      <x:c r="P21" s="9" t="str">
        <x:v>Основная валидация</x:v>
      </x:c>
      <x:c r="Q21" s="9" t="str">
        <x:v>e8ff7e7b</x:v>
      </x:c>
      <x:c r="R21" s="9" t="str">
        <x:v>reports/hypotheses-20261021-stage5/R00-catboost-control.json</x:v>
      </x:c>
    </x:row>
    <x:row r="22" ht="44" customHeight="1">
      <x:c r="A22" s="9" t="str">
        <x:v>H2-native-regression</x:v>
      </x:c>
      <x:c r="B22" s="9" t="str">
        <x:v>Регрессия</x:v>
      </x:c>
      <x:c r="C22" s="10" t="n">
        <x:v>51.31822671778022</x:v>
      </x:c>
      <x:c r="D22" s="10"/>
      <x:c r="E22" s="10"/>
      <x:c r="F22" s="10"/>
      <x:c r="G22" s="9" t="str">
        <x:v>CatBoostRegressor</x:v>
      </x:c>
      <x:c r="H22" s="9" t="str">
        <x:v>Нативные категории CatBoost вместо OneHotEncoder</x:v>
      </x:c>
      <x:c r="I22" s="9" t="str">
        <x:v>iterations=500; depth=6; learning_rate=0.05; l2_leaf_reg=3.0</x:v>
      </x:c>
      <x:c r="J22" s="9" t="str">
        <x:v>Year_Factor &lt; 5 train; == 5 validation</x:v>
      </x:c>
      <x:c r="K22" s="9" t="str">
        <x:v>R00-catboost-control</x:v>
      </x:c>
      <x:c r="L22" s="10" t="n">
        <x:f>INDEX('Запуски'!$C$7:$C$39,MATCH("R00-catboost-control",'Запуски'!$A$7:$A$39,0))</x:f>
        <x:v>45.93583634208973</x:v>
      </x:c>
      <x:c r="M22" s="10" t="n">
        <x:f>L22-C22</x:f>
        <x:v>-5.382390375690491</x:v>
      </x:c>
      <x:c r="N22" s="9" t="str">
        <x:v>Хуже контроля</x:v>
      </x:c>
      <x:c r="O22" s="11" t="n">
        <x:v>6.33</x:v>
      </x:c>
      <x:c r="P22" s="9" t="str">
        <x:v>Основная валидация</x:v>
      </x:c>
      <x:c r="Q22" s="9" t="str">
        <x:v>e8ff7e7b</x:v>
      </x:c>
      <x:c r="R22" s="9" t="str">
        <x:v>reports/hypotheses-20261021-stage5/H2-native-regression.json</x:v>
      </x:c>
    </x:row>
    <x:row r="23" ht="44" customHeight="1">
      <x:c r="A23" s="9" t="str">
        <x:v>C00-catboost-control</x:v>
      </x:c>
      <x:c r="B23" s="9" t="str">
        <x:v>Классификация</x:v>
      </x:c>
      <x:c r="C23" s="10"/>
      <x:c r="D23" s="10" t="n">
        <x:v>0.5340999478722075</x:v>
      </x:c>
      <x:c r="E23" s="10" t="n">
        <x:v>0.8191513630660431</x:v>
      </x:c>
      <x:c r="F23" s="10" t="n">
        <x:v>0.7959417457781833</x:v>
      </x:c>
      <x:c r="G23" s="9" t="str">
        <x:v>CatBoostClassifier</x:v>
      </x:c>
      <x:c r="H23" s="9" t="str">
        <x:v>Повтор CatBoost с OneHotEncoder; контроль</x:v>
      </x:c>
      <x:c r="I23" s="9" t="str">
        <x:v>iterations=500; depth=6; learning_rate=0.05; l2_leaf_reg=3.0</x:v>
      </x:c>
      <x:c r="J23" s="9" t="str">
        <x:v>stratified 80/20; random_state=42</x:v>
      </x:c>
      <x:c r="K23" s="9"/>
      <x:c r="L23" s="10"/>
      <x:c r="M23" s="10"/>
      <x:c r="N23" s="9" t="str">
        <x:v>Исходный ориентир / без парного сравнения</x:v>
      </x:c>
      <x:c r="O23" s="11" t="n">
        <x:v>86.87</x:v>
      </x:c>
      <x:c r="P23" s="9" t="str">
        <x:v>Основная валидация</x:v>
      </x:c>
      <x:c r="Q23" s="9" t="str">
        <x:v>e8ff7e7b</x:v>
      </x:c>
      <x:c r="R23" s="9" t="str">
        <x:v>reports/hypotheses-20261021-stage5/C00-catboost-control.json</x:v>
      </x:c>
    </x:row>
    <x:row r="24" ht="44" customHeight="1">
      <x:c r="A24" s="9" t="str">
        <x:v>H2-native-multiclass</x:v>
      </x:c>
      <x:c r="B24" s="9" t="str">
        <x:v>Классификация</x:v>
      </x:c>
      <x:c r="C24" s="10"/>
      <x:c r="D24" s="10" t="n">
        <x:v>0.5417317719703455</x:v>
      </x:c>
      <x:c r="E24" s="10" t="n">
        <x:v>0.8214896771985856</x:v>
      </x:c>
      <x:c r="F24" s="10" t="n">
        <x:v>0.7995464716006146</x:v>
      </x:c>
      <x:c r="G24" s="9" t="str">
        <x:v>CatBoostClassifier</x:v>
      </x:c>
      <x:c r="H24" s="9" t="str">
        <x:v>Нативные категории CatBoost вместо OneHotEncoder</x:v>
      </x:c>
      <x:c r="I24" s="9" t="str">
        <x:v>iterations=500; depth=6; learning_rate=0.05; l2_leaf_reg=3.0</x:v>
      </x:c>
      <x:c r="J24" s="9" t="str">
        <x:v>stratified 80/20; random_state=42</x:v>
      </x:c>
      <x:c r="K24" s="9" t="str">
        <x:v>C00-catboost-control</x:v>
      </x:c>
      <x:c r="L24" s="10" t="n">
        <x:f>INDEX('Запуски'!$D$7:$D$39,MATCH("C00-catboost-control",'Запуски'!$A$7:$A$39,0))</x:f>
        <x:v>0.5340999478722075</x:v>
      </x:c>
      <x:c r="M24" s="10" t="n">
        <x:f>D24-L24</x:f>
        <x:v>0.007631824098138007</x:v>
      </x:c>
      <x:c r="N24" s="9" t="str">
        <x:v>Лучше контроля</x:v>
      </x:c>
      <x:c r="O24" s="11" t="n">
        <x:v>552.26</x:v>
      </x:c>
      <x:c r="P24" s="9" t="str">
        <x:v>Основная валидация</x:v>
      </x:c>
      <x:c r="Q24" s="9" t="str">
        <x:v>e8ff7e7b</x:v>
      </x:c>
      <x:c r="R24" s="9" t="str">
        <x:v>reports/hypotheses-20261021-stage5/H2-native-multiclass.json</x:v>
      </x:c>
    </x:row>
    <x:row r="25" ht="44" customHeight="1">
      <x:c r="A25" s="9" t="str">
        <x:v>H3-missing-flags</x:v>
      </x:c>
      <x:c r="B25" s="9" t="str">
        <x:v>Регрессия</x:v>
      </x:c>
      <x:c r="C25" s="10" t="n">
        <x:v>46.80246419128978</x:v>
      </x:c>
      <x:c r="D25" s="10"/>
      <x:c r="E25" s="10"/>
      <x:c r="F25" s="10"/>
      <x:c r="G25" s="9" t="str">
        <x:v>CatBoostRegressor</x:v>
      </x:c>
      <x:c r="H25" s="9" t="str">
        <x:v>Шесть индикаторов пропусков; прочее без изменений</x:v>
      </x:c>
      <x:c r="I25" s="9" t="str">
        <x:v>iterations=500; depth=6; learning_rate=0.05; l2_leaf_reg=3.0</x:v>
      </x:c>
      <x:c r="J25" s="9" t="str">
        <x:v>Year_Factor &lt; 5 train; == 5 validation</x:v>
      </x:c>
      <x:c r="K25" s="9" t="str">
        <x:v>R00-catboost-control</x:v>
      </x:c>
      <x:c r="L25" s="10" t="n">
        <x:f>INDEX('Запуски'!$C$7:$C$39,MATCH("R00-catboost-control",'Запуски'!$A$7:$A$39,0))</x:f>
        <x:v>45.93583634208973</x:v>
      </x:c>
      <x:c r="M25" s="10" t="n">
        <x:f>L25-C25</x:f>
        <x:v>-0.8666278492000501</x:v>
      </x:c>
      <x:c r="N25" s="9" t="str">
        <x:v>Хуже контроля</x:v>
      </x:c>
      <x:c r="O25" s="11" t="n">
        <x:v>6.96</x:v>
      </x:c>
      <x:c r="P25" s="9" t="str">
        <x:v>Основная валидация</x:v>
      </x:c>
      <x:c r="Q25" s="9" t="str">
        <x:v>e8ff7e7b</x:v>
      </x:c>
      <x:c r="R25" s="9" t="str">
        <x:v>reports/hypotheses-20261021-stage5/H3-missing-flags.json</x:v>
      </x:c>
    </x:row>
    <x:row r="26" ht="44" customHeight="1">
      <x:c r="A26" s="9" t="str">
        <x:v>H4-zero-year</x:v>
      </x:c>
      <x:c r="B26" s="9" t="str">
        <x:v>Регрессия</x:v>
      </x:c>
      <x:c r="C26" s="10" t="n">
        <x:v>43.0046386479306</x:v>
      </x:c>
      <x:c r="D26" s="10"/>
      <x:c r="E26" s="10"/>
      <x:c r="F26" s="10"/>
      <x:c r="G26" s="9" t="str">
        <x:v>CatBoostRegressor</x:v>
      </x:c>
      <x:c r="H26" s="9" t="str">
        <x:v>Только year_built=0 заменён на пропуск</x:v>
      </x:c>
      <x:c r="I26" s="9" t="str">
        <x:v>iterations=500; depth=6; learning_rate=0.05; l2_leaf_reg=3.0</x:v>
      </x:c>
      <x:c r="J26" s="9" t="str">
        <x:v>Year_Factor &lt; 5 train; == 5 validation</x:v>
      </x:c>
      <x:c r="K26" s="9" t="str">
        <x:v>R00-catboost-control</x:v>
      </x:c>
      <x:c r="L26" s="10" t="n">
        <x:f>INDEX('Запуски'!$C$7:$C$39,MATCH("R00-catboost-control",'Запуски'!$A$7:$A$39,0))</x:f>
        <x:v>45.93583634208973</x:v>
      </x:c>
      <x:c r="M26" s="10" t="n">
        <x:f>L26-C26</x:f>
        <x:v>2.931197694159131</x:v>
      </x:c>
      <x:c r="N26" s="9" t="str">
        <x:v>Лучше контроля</x:v>
      </x:c>
      <x:c r="O26" s="11" t="n">
        <x:v>6.68</x:v>
      </x:c>
      <x:c r="P26" s="9" t="str">
        <x:v>Основная валидация</x:v>
      </x:c>
      <x:c r="Q26" s="9" t="str">
        <x:v>e8ff7e7b</x:v>
      </x:c>
      <x:c r="R26" s="9" t="str">
        <x:v>reports/hypotheses-20261021-stage5/H4-zero-year.json</x:v>
      </x:c>
    </x:row>
    <x:row r="27" ht="44" customHeight="1">
      <x:c r="A27" s="9" t="str">
        <x:v>H5-flow-ratios</x:v>
      </x:c>
      <x:c r="B27" s="9" t="str">
        <x:v>Классификация</x:v>
      </x:c>
      <x:c r="C27" s="10"/>
      <x:c r="D27" s="10" t="n">
        <x:v>0.628620730127727</x:v>
      </x:c>
      <x:c r="E27" s="10" t="n">
        <x:v>0.8275921067640014</x:v>
      </x:c>
      <x:c r="F27" s="10" t="n">
        <x:v>0.8156666564196723</x:v>
      </x:c>
      <x:c r="G27" s="9" t="str">
        <x:v>RandomForestClassifier</x:v>
      </x:c>
      <x:c r="H27" s="9" t="str">
        <x:v>Четыре отношения объёмов/пакетов, знаменатель +1</x:v>
      </x:c>
      <x:c r="I27" s="9" t="str">
        <x:v>n_estimators=150; max_depth=20; min_samples_leaf=2; max_features=0.8; class_weight=None</x:v>
      </x:c>
      <x:c r="J27" s="9" t="str">
        <x:v>stratified 80/20; random_state=42</x:v>
      </x:c>
      <x:c r="K27" s="9" t="str">
        <x:v>C00-forest-control</x:v>
      </x:c>
      <x:c r="L27" s="10" t="n">
        <x:f>INDEX('Запуски'!$D$7:$D$39,MATCH("C00-forest-control",'Запуски'!$A$7:$A$39,0))</x:f>
        <x:v>0.628538470153851</x:v>
      </x:c>
      <x:c r="M27" s="10" t="n">
        <x:f>D27-L27</x:f>
        <x:v>0.00008225997387600881</x:v>
      </x:c>
      <x:c r="N27" s="9" t="str">
        <x:v>Лучше контроля</x:v>
      </x:c>
      <x:c r="O27" s="11" t="n">
        <x:v>90.51</x:v>
      </x:c>
      <x:c r="P27" s="9" t="str">
        <x:v>Основная валидация</x:v>
      </x:c>
      <x:c r="Q27" s="9" t="str">
        <x:v>e8ff7e7b</x:v>
      </x:c>
      <x:c r="R27" s="9" t="str">
        <x:v>reports/hypotheses-20261021-stage5/H5-flow-ratios.json</x:v>
      </x:c>
    </x:row>
    <x:row r="28" ht="44" customHeight="1">
      <x:c r="A28" s="9" t="str">
        <x:v>R00-forest-control</x:v>
      </x:c>
      <x:c r="B28" s="9" t="str">
        <x:v>Регрессия</x:v>
      </x:c>
      <x:c r="C28" s="10" t="n">
        <x:v>47.470727845698555</x:v>
      </x:c>
      <x:c r="D28" s="10"/>
      <x:c r="E28" s="10"/>
      <x:c r="F28" s="10"/>
      <x:c r="G28" s="9" t="str">
        <x:v>RandomForestRegressor</x:v>
      </x:c>
      <x:c r="H28" s="9" t="str">
        <x:v>Повтор прежнего Random Forest для ансамбля</x:v>
      </x:c>
      <x:c r="I28" s="9" t="str">
        <x:v>n_estimators=150; max_depth=20; min_samples_leaf=2; max_features=0.8</x:v>
      </x:c>
      <x:c r="J28" s="9" t="str">
        <x:v>Year_Factor &lt; 5 train; == 5 validation</x:v>
      </x:c>
      <x:c r="K28" s="9"/>
      <x:c r="L28" s="10"/>
      <x:c r="M28" s="10"/>
      <x:c r="N28" s="9" t="str">
        <x:v>Исходный ориентир / без парного сравнения</x:v>
      </x:c>
      <x:c r="O28" s="11" t="n">
        <x:v>18.4</x:v>
      </x:c>
      <x:c r="P28" s="9" t="str">
        <x:v>Основная валидация</x:v>
      </x:c>
      <x:c r="Q28" s="9" t="str">
        <x:v>e8ff7e7b</x:v>
      </x:c>
      <x:c r="R28" s="9" t="str">
        <x:v>reports/hypotheses-20261021-stage5/R00-forest-control.json</x:v>
      </x:c>
    </x:row>
    <x:row r="29" ht="44" customHeight="1">
      <x:c r="A29" s="9" t="str">
        <x:v>H6-ensemble-regression</x:v>
      </x:c>
      <x:c r="B29" s="9" t="str">
        <x:v>Регрессия</x:v>
      </x:c>
      <x:c r="C29" s="10" t="n">
        <x:v>44.61680775576098</x:v>
      </x:c>
      <x:c r="D29" s="10"/>
      <x:c r="E29" s="10"/>
      <x:c r="F29" s="10"/>
      <x:c r="G29" s="9" t="str">
        <x:v>EqualWeightEnsemble</x:v>
      </x:c>
      <x:c r="H29" s="9" t="str">
        <x:v>Среднее прогнозов исходных леса и CatBoost, веса 50/50</x:v>
      </x:c>
      <x:c r="I29" s="9" t="str">
        <x:v>equal_weights=[0.5, 0.5]</x:v>
      </x:c>
      <x:c r="J29" s="9" t="str">
        <x:v>Year_Factor &lt; 5 train; == 5 validation</x:v>
      </x:c>
      <x:c r="K29" s="9" t="str">
        <x:v>R00-catboost-control</x:v>
      </x:c>
      <x:c r="L29" s="10" t="n">
        <x:f>INDEX('Запуски'!$C$7:$C$39,MATCH("R00-catboost-control",'Запуски'!$A$7:$A$39,0))</x:f>
        <x:v>45.93583634208973</x:v>
      </x:c>
      <x:c r="M29" s="10" t="n">
        <x:f>L29-C29</x:f>
        <x:v>1.3190285863287485</x:v>
      </x:c>
      <x:c r="N29" s="9" t="str">
        <x:v>Лучше контроля</x:v>
      </x:c>
      <x:c r="O29" s="11" t="n">
        <x:v>25.36</x:v>
      </x:c>
      <x:c r="P29" s="9" t="str">
        <x:v>Основная валидация</x:v>
      </x:c>
      <x:c r="Q29" s="9" t="str">
        <x:v>e8ff7e7b</x:v>
      </x:c>
      <x:c r="R29" s="9" t="str">
        <x:v>reports/hypotheses-20261021-stage5/H6-ensemble-regression.json</x:v>
      </x:c>
    </x:row>
    <x:row r="30" ht="44" customHeight="1">
      <x:c r="A30" s="9" t="str">
        <x:v>H6-ensemble-multiclass</x:v>
      </x:c>
      <x:c r="B30" s="9" t="str">
        <x:v>Классификация</x:v>
      </x:c>
      <x:c r="C30" s="10"/>
      <x:c r="D30" s="10" t="n">
        <x:v>0.5788370836114318</x:v>
      </x:c>
      <x:c r="E30" s="10" t="n">
        <x:v>0.8271358503478955</x:v>
      </x:c>
      <x:c r="F30" s="10" t="n">
        <x:v>0.8107892122430977</x:v>
      </x:c>
      <x:c r="G30" s="9" t="str">
        <x:v>EqualWeightEnsemble</x:v>
      </x:c>
      <x:c r="H30" s="9" t="str">
        <x:v>Среднее вероятностей исходных леса и CatBoost, веса 50/50</x:v>
      </x:c>
      <x:c r="I30" s="9" t="str">
        <x:v>equal_weights=[0.5, 0.5]</x:v>
      </x:c>
      <x:c r="J30" s="9" t="str">
        <x:v>stratified 80/20; random_state=42</x:v>
      </x:c>
      <x:c r="K30" s="9" t="str">
        <x:v>C00-forest-control</x:v>
      </x:c>
      <x:c r="L30" s="10" t="n">
        <x:f>INDEX('Запуски'!$D$7:$D$39,MATCH("C00-forest-control",'Запуски'!$A$7:$A$39,0))</x:f>
        <x:v>0.628538470153851</x:v>
      </x:c>
      <x:c r="M30" s="10" t="n">
        <x:f>D30-L30</x:f>
        <x:v>-0.04970138654241918</x:v>
      </x:c>
      <x:c r="N30" s="9" t="str">
        <x:v>Хуже контроля</x:v>
      </x:c>
      <x:c r="O30" s="11" t="n">
        <x:v>166.7</x:v>
      </x:c>
      <x:c r="P30" s="9" t="str">
        <x:v>Основная валидация</x:v>
      </x:c>
      <x:c r="Q30" s="9" t="str">
        <x:v>e8ff7e7b</x:v>
      </x:c>
      <x:c r="R30" s="9" t="str">
        <x:v>reports/hypotheses-20261021-stage5/H6-ensemble-multiclass.json</x:v>
      </x:c>
    </x:row>
    <x:row r="31" ht="44" customHeight="1">
      <x:c r="A31" s="9" t="str">
        <x:v>S-regression-control</x:v>
      </x:c>
      <x:c r="B31" s="9" t="str">
        <x:v>Регрессия</x:v>
      </x:c>
      <x:c r="C31" s="10" t="n">
        <x:v>45.51876878464039</x:v>
      </x:c>
      <x:c r="D31" s="10"/>
      <x:c r="E31" s="10"/>
      <x:c r="F31" s="10"/>
      <x:c r="G31" s="9" t="str">
        <x:v>CatBoostRegressor</x:v>
      </x:c>
      <x:c r="H31" s="9" t="str">
        <x:v>Контроль на дополнительном разделении</x:v>
      </x:c>
      <x:c r="I31" s="9" t="str">
        <x:v>iterations=500; depth=6; learning_rate=0.05; l2_leaf_reg=3.0</x:v>
      </x:c>
      <x:c r="J31" s="9" t="str">
        <x:v>Year_Factor &lt; 4 train; == 4 validation</x:v>
      </x:c>
      <x:c r="K31" s="9"/>
      <x:c r="L31" s="10"/>
      <x:c r="M31" s="10"/>
      <x:c r="N31" s="9" t="str">
        <x:v>Исходный ориентир / без парного сравнения</x:v>
      </x:c>
      <x:c r="O31" s="11" t="n">
        <x:v>1.8</x:v>
      </x:c>
      <x:c r="P31" s="9" t="str">
        <x:v>Другое разделение</x:v>
      </x:c>
      <x:c r="Q31" s="9" t="str">
        <x:v>e8ff7e7b</x:v>
      </x:c>
      <x:c r="R31" s="9" t="str">
        <x:v>reports/hypotheses-20261021-stage5/S-regression-control.json</x:v>
      </x:c>
    </x:row>
    <x:row r="32" ht="44" customHeight="1">
      <x:c r="A32" s="9" t="str">
        <x:v>S-regression-candidate</x:v>
      </x:c>
      <x:c r="B32" s="9" t="str">
        <x:v>Регрессия</x:v>
      </x:c>
      <x:c r="C32" s="10" t="n">
        <x:v>45.31673513065655</x:v>
      </x:c>
      <x:c r="D32" s="10"/>
      <x:c r="E32" s="10"/>
      <x:c r="F32" s="10"/>
      <x:c r="G32" s="9" t="str">
        <x:v>CatBoostRegressor</x:v>
      </x:c>
      <x:c r="H32" s="9" t="str">
        <x:v>Кандидат H4-zero-year на дополнительном разделении</x:v>
      </x:c>
      <x:c r="I32" s="9" t="str">
        <x:v>iterations=500; depth=6; learning_rate=0.05; l2_leaf_reg=3.0</x:v>
      </x:c>
      <x:c r="J32" s="9" t="str">
        <x:v>Year_Factor &lt; 4 train; == 4 validation</x:v>
      </x:c>
      <x:c r="K32" s="9" t="str">
        <x:v>S-regression-control</x:v>
      </x:c>
      <x:c r="L32" s="10" t="n">
        <x:f>INDEX('Запуски'!$C$7:$C$39,MATCH("S-regression-control",'Запуски'!$A$7:$A$39,0))</x:f>
        <x:v>45.51876878464039</x:v>
      </x:c>
      <x:c r="M32" s="10" t="n">
        <x:f>L32-C32</x:f>
        <x:v>0.20203365398384676</x:v>
      </x:c>
      <x:c r="N32" s="9" t="str">
        <x:v>Лучше контроля</x:v>
      </x:c>
      <x:c r="O32" s="11" t="n">
        <x:v>1.8</x:v>
      </x:c>
      <x:c r="P32" s="9" t="str">
        <x:v>Другое разделение</x:v>
      </x:c>
      <x:c r="Q32" s="9" t="str">
        <x:v>e8ff7e7b</x:v>
      </x:c>
      <x:c r="R32" s="9" t="str">
        <x:v>reports/hypotheses-20261021-stage5/S-regression-candidate.json</x:v>
      </x:c>
    </x:row>
    <x:row r="33" ht="44" customHeight="1">
      <x:c r="A33" s="9" t="str">
        <x:v>S-multiclass-control</x:v>
      </x:c>
      <x:c r="B33" s="9" t="str">
        <x:v>Классификация</x:v>
      </x:c>
      <x:c r="C33" s="10"/>
      <x:c r="D33" s="10" t="n">
        <x:v>0.6082047994072377</x:v>
      </x:c>
      <x:c r="E33" s="10" t="n">
        <x:v>0.8295311965324512</x:v>
      </x:c>
      <x:c r="F33" s="10" t="n">
        <x:v>0.8168266632512022</x:v>
      </x:c>
      <x:c r="G33" s="9" t="str">
        <x:v>RandomForestClassifier</x:v>
      </x:c>
      <x:c r="H33" s="9" t="str">
        <x:v>Контроль на дополнительном разделении</x:v>
      </x:c>
      <x:c r="I33" s="9" t="str">
        <x:v>n_estimators=150; max_depth=20; min_samples_leaf=2; max_features=0.8; class_weight=None</x:v>
      </x:c>
      <x:c r="J33" s="9" t="str">
        <x:v>stratified 80/20; random_state=2026</x:v>
      </x:c>
      <x:c r="K33" s="9"/>
      <x:c r="L33" s="10"/>
      <x:c r="M33" s="10"/>
      <x:c r="N33" s="9" t="str">
        <x:v>Исходный ориентир / без парного сравнения</x:v>
      </x:c>
      <x:c r="O33" s="11" t="n">
        <x:v>35.2</x:v>
      </x:c>
      <x:c r="P33" s="9" t="str">
        <x:v>Другое разделение</x:v>
      </x:c>
      <x:c r="Q33" s="9" t="str">
        <x:v>e8ff7e7b</x:v>
      </x:c>
      <x:c r="R33" s="9" t="str">
        <x:v>reports/hypotheses-20261021-stage5/S-multiclass-control.json</x:v>
      </x:c>
    </x:row>
    <x:row r="34" ht="44" customHeight="1">
      <x:c r="A34" s="9" t="str">
        <x:v>S-multiclass-candidate</x:v>
      </x:c>
      <x:c r="B34" s="9" t="str">
        <x:v>Классификация</x:v>
      </x:c>
      <x:c r="C34" s="10"/>
      <x:c r="D34" s="10" t="n">
        <x:v>0.6013008205545127</x:v>
      </x:c>
      <x:c r="E34" s="10" t="n">
        <x:v>0.8291319721683587</x:v>
      </x:c>
      <x:c r="F34" s="10" t="n">
        <x:v>0.8172760273096971</x:v>
      </x:c>
      <x:c r="G34" s="9" t="str">
        <x:v>RandomForestClassifier</x:v>
      </x:c>
      <x:c r="H34" s="9" t="str">
        <x:v>Кандидат H5-flow-ratios на дополнительном разделении</x:v>
      </x:c>
      <x:c r="I34" s="9" t="str">
        <x:v>n_estimators=150; max_depth=20; min_samples_leaf=2; max_features=0.8; class_weight=None</x:v>
      </x:c>
      <x:c r="J34" s="9" t="str">
        <x:v>stratified 80/20; random_state=2026</x:v>
      </x:c>
      <x:c r="K34" s="9" t="str">
        <x:v>S-multiclass-control</x:v>
      </x:c>
      <x:c r="L34" s="10" t="n">
        <x:f>INDEX('Запуски'!$D$7:$D$39,MATCH("S-multiclass-control",'Запуски'!$A$7:$A$39,0))</x:f>
        <x:v>0.6082047994072377</x:v>
      </x:c>
      <x:c r="M34" s="10" t="n">
        <x:f>D34-L34</x:f>
        <x:v>-0.006903978852724979</x:v>
      </x:c>
      <x:c r="N34" s="9" t="str">
        <x:v>Хуже контроля</x:v>
      </x:c>
      <x:c r="O34" s="11" t="n">
        <x:v>38.37</x:v>
      </x:c>
      <x:c r="P34" s="9" t="str">
        <x:v>Другое разделение</x:v>
      </x:c>
      <x:c r="Q34" s="9" t="str">
        <x:v>e8ff7e7b</x:v>
      </x:c>
      <x:c r="R34" s="9" t="str">
        <x:v>reports/hypotheses-20261021-stage5/S-multiclass-candidate.json</x:v>
      </x:c>
    </x:row>
    <x:row r="35" ht="44" customHeight="1">
      <x:c r="A35" s="9" t="str">
        <x:v>diagnostic-ols-regression</x:v>
      </x:c>
      <x:c r="B35" s="9" t="str">
        <x:v>Регрессия</x:v>
      </x:c>
      <x:c r="C35" s="12" t="n">
        <x:v>10615239987723.564</x:v>
      </x:c>
      <x:c r="D35" s="10"/>
      <x:c r="E35" s="10"/>
      <x:c r="F35" s="10"/>
      <x:c r="G35" s="9" t="str">
        <x:v>LinearRegression</x:v>
      </x:c>
      <x:c r="H35" s="9" t="str">
        <x:v>LinearRegression</x:v>
      </x:c>
      <x:c r="I35" s="9" t="str">
        <x:v>LinearRegression(); настройки по умолчанию, диагностический запуск</x:v>
      </x:c>
      <x:c r="J35" s="9" t="str">
        <x:v>Year_Factor &lt; 5 train; == 5 validation</x:v>
      </x:c>
      <x:c r="K35" s="9"/>
      <x:c r="L35" s="10"/>
      <x:c r="M35" s="10"/>
      <x:c r="N35" s="9" t="str">
        <x:v>Численно нестабильная OLS; не использовать</x:v>
      </x:c>
      <x:c r="O35" s="11" t="n">
        <x:v>0.99</x:v>
      </x:c>
      <x:c r="P35" s="9" t="str">
        <x:v>Неудачная диагностика</x:v>
      </x:c>
      <x:c r="Q35" s="9" t="str">
        <x:v>не записан</x:v>
      </x:c>
      <x:c r="R35" s="9" t="str">
        <x:v>reports/diagnostics/diagnostic-ols-regression.json</x:v>
      </x:c>
    </x:row>
    <x:row r="36" ht="44" customHeight="1">
      <x:c r="A36" s="9" t="str">
        <x:v>technical-repository-check-multiclass</x:v>
      </x:c>
      <x:c r="B36" s="9" t="str">
        <x:v>Классификация</x:v>
      </x:c>
      <x:c r="C36" s="10"/>
      <x:c r="D36" s="10" t="n">
        <x:v>0.4288518821725383</x:v>
      </x:c>
      <x:c r="E36" s="10" t="n">
        <x:v>0.7731835291433786</x:v>
      </x:c>
      <x:c r="F36" s="10" t="n">
        <x:v>0.7560984216904937</x:v>
      </x:c>
      <x:c r="G36" s="9" t="str">
        <x:v>LogisticRegression</x:v>
      </x:c>
      <x:c r="H36" s="9" t="str">
        <x:v>Первый линейный классификатор</x:v>
      </x:c>
      <x:c r="I36" s="9" t="str">
        <x:v>solver=lbfgs; max_iter=3000; random_state=42 (по коду первого этапа)</x:v>
      </x:c>
      <x:c r="J36" s="9" t="str">
        <x:v>stratified 80/20; random_state=42</x:v>
      </x:c>
      <x:c r="K36" s="9"/>
      <x:c r="L36" s="10"/>
      <x:c r="M36" s="10"/>
      <x:c r="N36" s="9" t="str">
        <x:v>Технический повтор, не новая гипотеза</x:v>
      </x:c>
      <x:c r="O36" s="11" t="n">
        <x:v>23.97</x:v>
      </x:c>
      <x:c r="P36" s="9" t="str">
        <x:v>Технический повтор</x:v>
      </x:c>
      <x:c r="Q36" s="9" t="str">
        <x:v>не записан</x:v>
      </x:c>
      <x:c r="R36" s="9" t="str">
        <x:v>reports/diagnostics/technical-repository-check-multiclass.json</x:v>
      </x:c>
    </x:row>
    <x:row r="37" ht="44" customHeight="1">
      <x:c r="A37" s="9" t="str">
        <x:v>technical-repository-check-regression</x:v>
      </x:c>
      <x:c r="B37" s="9" t="str">
        <x:v>Регрессия</x:v>
      </x:c>
      <x:c r="C37" s="10" t="n">
        <x:v>50.079635494578994</x:v>
      </x:c>
      <x:c r="D37" s="10"/>
      <x:c r="E37" s="10"/>
      <x:c r="F37" s="10"/>
      <x:c r="G37" s="9" t="str">
        <x:v>Ridge</x:v>
      </x:c>
      <x:c r="H37" s="9" t="str">
        <x:v>Первый линейный ориентир; Ridge</x:v>
      </x:c>
      <x:c r="I37" s="9" t="str">
        <x:v>alpha=1; solver=lsqr; tol=1e-6 (восстановлено по коду первого этапа)</x:v>
      </x:c>
      <x:c r="J37" s="9" t="str">
        <x:v>Year_Factor &lt; 5 train; == 5 validation</x:v>
      </x:c>
      <x:c r="K37" s="9"/>
      <x:c r="L37" s="10"/>
      <x:c r="M37" s="10"/>
      <x:c r="N37" s="9" t="str">
        <x:v>Технический повтор, не новая гипотеза</x:v>
      </x:c>
      <x:c r="O37" s="11" t="n">
        <x:v>1.93</x:v>
      </x:c>
      <x:c r="P37" s="9" t="str">
        <x:v>Технический повтор</x:v>
      </x:c>
      <x:c r="Q37" s="9" t="str">
        <x:v>не записан</x:v>
      </x:c>
      <x:c r="R37" s="9" t="str">
        <x:v>reports/diagnostics/technical-repository-check-regression.json</x:v>
      </x:c>
    </x:row>
    <x:row r="38" ht="44" customHeight="1">
      <x:c r="A38" s="9" t="str">
        <x:v>technical-verified-multiclass</x:v>
      </x:c>
      <x:c r="B38" s="9" t="str">
        <x:v>Классификация</x:v>
      </x:c>
      <x:c r="C38" s="10"/>
      <x:c r="D38" s="10" t="n">
        <x:v>0.4288518821725383</x:v>
      </x:c>
      <x:c r="E38" s="10" t="n">
        <x:v>0.7731835291433786</x:v>
      </x:c>
      <x:c r="F38" s="10" t="n">
        <x:v>0.7560984216904937</x:v>
      </x:c>
      <x:c r="G38" s="9" t="str">
        <x:v>LogisticRegression</x:v>
      </x:c>
      <x:c r="H38" s="9" t="str">
        <x:v>Первый линейный классификатор</x:v>
      </x:c>
      <x:c r="I38" s="9" t="str">
        <x:v>solver=lbfgs; max_iter=3000; random_state=42 (по коду первого этапа)</x:v>
      </x:c>
      <x:c r="J38" s="9" t="str">
        <x:v>stratified 80/20; random_state=42</x:v>
      </x:c>
      <x:c r="K38" s="9"/>
      <x:c r="L38" s="10"/>
      <x:c r="M38" s="10"/>
      <x:c r="N38" s="9" t="str">
        <x:v>Технический повтор, не новая гипотеза</x:v>
      </x:c>
      <x:c r="O38" s="11" t="n">
        <x:v>24.04</x:v>
      </x:c>
      <x:c r="P38" s="9" t="str">
        <x:v>Технический повтор</x:v>
      </x:c>
      <x:c r="Q38" s="9" t="str">
        <x:v>не записан</x:v>
      </x:c>
      <x:c r="R38" s="9" t="str">
        <x:v>reports/diagnostics/technical-verified-multiclass.json</x:v>
      </x:c>
    </x:row>
    <x:row r="39" ht="44" customHeight="1">
      <x:c r="A39" s="9" t="str">
        <x:v>technical-verified-regression</x:v>
      </x:c>
      <x:c r="B39" s="9" t="str">
        <x:v>Регрессия</x:v>
      </x:c>
      <x:c r="C39" s="10" t="n">
        <x:v>50.079635494578994</x:v>
      </x:c>
      <x:c r="D39" s="10"/>
      <x:c r="E39" s="10"/>
      <x:c r="F39" s="10"/>
      <x:c r="G39" s="9" t="str">
        <x:v>Ridge</x:v>
      </x:c>
      <x:c r="H39" s="9" t="str">
        <x:v>Первый линейный ориентир; Ridge</x:v>
      </x:c>
      <x:c r="I39" s="9" t="str">
        <x:v>alpha=1; solver=lsqr; tol=1e-6 (восстановлено по коду первого этапа)</x:v>
      </x:c>
      <x:c r="J39" s="9" t="str">
        <x:v>Year_Factor &lt; 5 train; == 5 validation</x:v>
      </x:c>
      <x:c r="K39" s="9"/>
      <x:c r="L39" s="10"/>
      <x:c r="M39" s="10"/>
      <x:c r="N39" s="9" t="str">
        <x:v>Технический повтор, не новая гипотеза</x:v>
      </x:c>
      <x:c r="O39" s="11" t="n">
        <x:v>1.53</x:v>
      </x:c>
      <x:c r="P39" s="9" t="str">
        <x:v>Технический повтор</x:v>
      </x:c>
      <x:c r="Q39" s="9" t="str">
        <x:v>не записан</x:v>
      </x:c>
      <x:c r="R39" s="9" t="str">
        <x:v>reports/diagnostics/technical-verified-regression.json</x:v>
      </x:c>
    </x:row>
  </x:sheetData>
  <x:conditionalFormatting sqref="M7:M39">
    <x:cfRule type="cellIs" dxfId="0" priority="1" operator="greaterThan">
      <x:formula>1e-10</x:formula>
    </x:cfRule>
    <x:cfRule type="cellIs" dxfId="1" priority="2" operator="lessThan">
      <x:formula>-1e-10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0aa7065d4fa48ae"/>
  </x:tableParts>
</x:worksheet>
</file>

<file path=xl/worksheets/sheet3.xml><?xml version="1.0" encoding="utf-8"?>
<x:worksheet xmlns:x="http://schemas.openxmlformats.org/spreadsheetml/2006/main">
  <x:sheetPr>
    <x:tabColor rgb="FFB7C3CE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7" hidden="0" customWidth="1"/>
    <x:col min="2" max="2" width="22" hidden="0" customWidth="1"/>
    <x:col min="3" max="3" width="10" hidden="0" customWidth="1"/>
    <x:col min="4" max="4" width="17" hidden="0" customWidth="1"/>
    <x:col min="5" max="5" width="17" hidden="0" customWidth="1"/>
    <x:col min="6" max="6" width="82" hidden="0" customWidth="1"/>
    <x:col min="7" max="7" width="15" hidden="0" customWidth="1"/>
    <x:col min="8" max="8" width="17" hidden="0" customWidth="1"/>
    <x:col min="9" max="9" width="17" hidden="0" customWidth="1"/>
    <x:col min="10" max="10" width="66" hidden="0" customWidth="1"/>
  </x:cols>
  <x:sheetData>
    <x:row r="2">
      <x:c r="A2" s="1" t="str">
        <x:v>Все попытки подбора параметров</x:v>
      </x:c>
    </x:row>
    <x:row r="4">
      <x:c r="A4" s="2" t="str">
        <x:v>Значения на внутренней проверке. Не сравнивать напрямую с основной валидацией.</x:v>
      </x:c>
    </x:row>
    <x:row r="6" ht="34" customHeight="1">
      <x:c r="A6" s="8" t="str">
        <x:v>ID</x:v>
      </x:c>
      <x:c r="B6" s="8" t="str">
        <x:v>Задача</x:v>
      </x:c>
      <x:c r="C6" s="8" t="str">
        <x:v>Trial</x:v>
      </x:c>
      <x:c r="D6" s="8" t="str">
        <x:v>Метрика</x:v>
      </x:c>
      <x:c r="E6" s="8" t="str">
        <x:v>Значение</x:v>
      </x:c>
      <x:c r="F6" s="8" t="str">
        <x:v>Параметры</x:v>
      </x:c>
      <x:c r="G6" s="8" t="str">
        <x:v>Время, с</x:v>
      </x:c>
      <x:c r="H6" s="8" t="str">
        <x:v>Статус</x:v>
      </x:c>
      <x:c r="I6" s="8" t="str">
        <x:v>Повтор trial</x:v>
      </x:c>
      <x:c r="J6" s="8" t="str">
        <x:v>Источник</x:v>
      </x:c>
    </x:row>
    <x:row r="7" ht="44" customHeight="1">
      <x:c r="A7" s="9" t="str">
        <x:v>multiclass-optuna-20261021-stage4-trial-0</x:v>
      </x:c>
      <x:c r="B7" s="9" t="str">
        <x:v>Классификация</x:v>
      </x:c>
      <x:c r="C7" s="9" t="n">
        <x:v>0</x:v>
      </x:c>
      <x:c r="D7" s="9" t="str">
        <x:v>macro_f1</x:v>
      </x:c>
      <x:c r="E7" s="10" t="n">
        <x:v>0.5963541428248464</x:v>
      </x:c>
      <x:c r="F7" s="9" t="str">
        <x:v>{"max_depth":20,"max_features":0.8,"min_samples_leaf":2,"n_estimators":150}</x:v>
      </x:c>
      <x:c r="G7" s="11" t="n">
        <x:v>27.22</x:v>
      </x:c>
      <x:c r="H7" s="9" t="str">
        <x:v>COMPLETE</x:v>
      </x:c>
      <x:c r="I7" s="9"/>
      <x:c r="J7" s="9" t="str">
        <x:v>reports/multiclass-optuna-20261021-stage4-trials.csv</x:v>
      </x:c>
    </x:row>
    <x:row r="8" ht="44" customHeight="1">
      <x:c r="A8" s="9" t="str">
        <x:v>multiclass-optuna-20261021-stage4-trial-1</x:v>
      </x:c>
      <x:c r="B8" s="9" t="str">
        <x:v>Классификация</x:v>
      </x:c>
      <x:c r="C8" s="9" t="n">
        <x:v>1</x:v>
      </x:c>
      <x:c r="D8" s="9" t="str">
        <x:v>macro_f1</x:v>
      </x:c>
      <x:c r="E8" s="10" t="n">
        <x:v>0.5709077026434727</x:v>
      </x:c>
      <x:c r="F8" s="9" t="str">
        <x:v>{"max_depth":12,"max_features":0.5,"min_samples_leaf":1,"n_estimators":150}</x:v>
      </x:c>
      <x:c r="G8" s="11" t="n">
        <x:v>11.22</x:v>
      </x:c>
      <x:c r="H8" s="9" t="str">
        <x:v>COMPLETE</x:v>
      </x:c>
      <x:c r="I8" s="9"/>
      <x:c r="J8" s="9" t="str">
        <x:v>reports/multiclass-optuna-20261021-stage4-trials.csv</x:v>
      </x:c>
    </x:row>
    <x:row r="9" ht="44" customHeight="1">
      <x:c r="A9" s="9" t="str">
        <x:v>multiclass-optuna-20261021-stage4-trial-2</x:v>
      </x:c>
      <x:c r="B9" s="9" t="str">
        <x:v>Классификация</x:v>
      </x:c>
      <x:c r="C9" s="9" t="n">
        <x:v>2</x:v>
      </x:c>
      <x:c r="D9" s="9" t="str">
        <x:v>macro_f1</x:v>
      </x:c>
      <x:c r="E9" s="10" t="n">
        <x:v>0.5719014694499962</x:v>
      </x:c>
      <x:c r="F9" s="9" t="str">
        <x:v>{"max_depth":null,"max_features":0.5,"min_samples_leaf":8,"n_estimators":250}</x:v>
      </x:c>
      <x:c r="G9" s="11" t="n">
        <x:v>23.07</x:v>
      </x:c>
      <x:c r="H9" s="9" t="str">
        <x:v>COMPLETE</x:v>
      </x:c>
      <x:c r="I9" s="9"/>
      <x:c r="J9" s="9" t="str">
        <x:v>reports/multiclass-optuna-20261021-stage4-trials.csv</x:v>
      </x:c>
    </x:row>
    <x:row r="10" ht="44" customHeight="1">
      <x:c r="A10" s="9" t="str">
        <x:v>multiclass-optuna-20261021-stage4-trial-3</x:v>
      </x:c>
      <x:c r="B10" s="9" t="str">
        <x:v>Классификация</x:v>
      </x:c>
      <x:c r="C10" s="9" t="n">
        <x:v>3</x:v>
      </x:c>
      <x:c r="D10" s="9" t="str">
        <x:v>macro_f1</x:v>
      </x:c>
      <x:c r="E10" s="10" t="n">
        <x:v>0.5911399030716868</x:v>
      </x:c>
      <x:c r="F10" s="9" t="str">
        <x:v>{"max_depth":null,"max_features":1,"min_samples_leaf":1,"n_estimators":250}</x:v>
      </x:c>
      <x:c r="G10" s="11" t="n">
        <x:v>69.36</x:v>
      </x:c>
      <x:c r="H10" s="9" t="str">
        <x:v>COMPLETE</x:v>
      </x:c>
      <x:c r="I10" s="9"/>
      <x:c r="J10" s="9" t="str">
        <x:v>reports/multiclass-optuna-20261021-stage4-trials.csv</x:v>
      </x:c>
    </x:row>
    <x:row r="11" ht="44" customHeight="1">
      <x:c r="A11" s="9" t="str">
        <x:v>multiclass-optuna-20261021-stage4-trial-4</x:v>
      </x:c>
      <x:c r="B11" s="9" t="str">
        <x:v>Классификация</x:v>
      </x:c>
      <x:c r="C11" s="9" t="n">
        <x:v>4</x:v>
      </x:c>
      <x:c r="D11" s="9" t="str">
        <x:v>macro_f1</x:v>
      </x:c>
      <x:c r="E11" s="10" t="n">
        <x:v>0.5963541428248464</x:v>
      </x:c>
      <x:c r="F11" s="9" t="str">
        <x:v>{"max_depth":20,"max_features":0.8,"min_samples_leaf":2,"n_estimators":150}</x:v>
      </x:c>
      <x:c r="G11" s="11" t="n">
        <x:v>23.49</x:v>
      </x:c>
      <x:c r="H11" s="9" t="str">
        <x:v>COMPLETE</x:v>
      </x:c>
      <x:c r="I11" s="9" t="n">
        <x:v>0</x:v>
      </x:c>
      <x:c r="J11" s="9" t="str">
        <x:v>reports/multiclass-optuna-20261021-stage4-trials.csv</x:v>
      </x:c>
    </x:row>
    <x:row r="12" ht="44" customHeight="1">
      <x:c r="A12" s="9" t="str">
        <x:v>multiclass-optuna-20261021-stage4-trial-5</x:v>
      </x:c>
      <x:c r="B12" s="9" t="str">
        <x:v>Классификация</x:v>
      </x:c>
      <x:c r="C12" s="9" t="n">
        <x:v>5</x:v>
      </x:c>
      <x:c r="D12" s="9" t="str">
        <x:v>macro_f1</x:v>
      </x:c>
      <x:c r="E12" s="10" t="n">
        <x:v>0.597690246259533</x:v>
      </x:c>
      <x:c r="F12" s="9" t="str">
        <x:v>{"max_depth":28,"max_features":0.8,"min_samples_leaf":4,"n_estimators":100}</x:v>
      </x:c>
      <x:c r="G12" s="11" t="n">
        <x:v>15.75</x:v>
      </x:c>
      <x:c r="H12" s="9" t="str">
        <x:v>COMPLETE</x:v>
      </x:c>
      <x:c r="I12" s="9"/>
      <x:c r="J12" s="9" t="str">
        <x:v>reports/multiclass-optuna-20261021-stage4-trials.csv</x:v>
      </x:c>
    </x:row>
    <x:row r="13" ht="44" customHeight="1">
      <x:c r="A13" s="9" t="str">
        <x:v>multiclass-optuna-20261021-stage4-trial-6</x:v>
      </x:c>
      <x:c r="B13" s="9" t="str">
        <x:v>Классификация</x:v>
      </x:c>
      <x:c r="C13" s="9" t="n">
        <x:v>6</x:v>
      </x:c>
      <x:c r="D13" s="9" t="str">
        <x:v>macro_f1</x:v>
      </x:c>
      <x:c r="E13" s="10" t="n">
        <x:v>0.597690246259533</x:v>
      </x:c>
      <x:c r="F13" s="9" t="str">
        <x:v>{"max_depth":28,"max_features":0.8,"min_samples_leaf":4,"n_estimators":100}</x:v>
      </x:c>
      <x:c r="G13" s="11" t="n">
        <x:v>15.95</x:v>
      </x:c>
      <x:c r="H13" s="9" t="str">
        <x:v>COMPLETE</x:v>
      </x:c>
      <x:c r="I13" s="9" t="n">
        <x:v>5</x:v>
      </x:c>
      <x:c r="J13" s="9" t="str">
        <x:v>reports/multiclass-optuna-20261021-stage4-trials.csv</x:v>
      </x:c>
    </x:row>
    <x:row r="14" ht="44" customHeight="1">
      <x:c r="A14" s="9" t="str">
        <x:v>multiclass-optuna-20261021-stage4-trial-7</x:v>
      </x:c>
      <x:c r="B14" s="9" t="str">
        <x:v>Классификация</x:v>
      </x:c>
      <x:c r="C14" s="9" t="n">
        <x:v>7</x:v>
      </x:c>
      <x:c r="D14" s="9" t="str">
        <x:v>macro_f1</x:v>
      </x:c>
      <x:c r="E14" s="10" t="n">
        <x:v>0.593874465313297</x:v>
      </x:c>
      <x:c r="F14" s="9" t="str">
        <x:v>{"max_depth":28,"max_features":1,"min_samples_leaf":4,"n_estimators":100}</x:v>
      </x:c>
      <x:c r="G14" s="11" t="n">
        <x:v>19.44</x:v>
      </x:c>
      <x:c r="H14" s="9" t="str">
        <x:v>COMPLETE</x:v>
      </x:c>
      <x:c r="I14" s="9"/>
      <x:c r="J14" s="9" t="str">
        <x:v>reports/multiclass-optuna-20261021-stage4-trials.csv</x:v>
      </x:c>
    </x:row>
    <x:row r="15" ht="44" customHeight="1">
      <x:c r="A15" s="9" t="str">
        <x:v>regression-optuna-20261021-stage4-trial-0</x:v>
      </x:c>
      <x:c r="B15" s="9" t="str">
        <x:v>Регрессия</x:v>
      </x:c>
      <x:c r="C15" s="9" t="n">
        <x:v>0</x:v>
      </x:c>
      <x:c r="D15" s="9" t="str">
        <x:v>rmse</x:v>
      </x:c>
      <x:c r="E15" s="10" t="n">
        <x:v>45.51876878464039</x:v>
      </x:c>
      <x:c r="F15" s="9" t="str">
        <x:v>{"depth":6,"iterations":500,"l2_leaf_reg":3,"learning_rate":0.05}</x:v>
      </x:c>
      <x:c r="G15" s="11" t="n">
        <x:v>2.14</x:v>
      </x:c>
      <x:c r="H15" s="9" t="str">
        <x:v>COMPLETE</x:v>
      </x:c>
      <x:c r="I15" s="9"/>
      <x:c r="J15" s="9" t="str">
        <x:v>reports/regression-optuna-20261021-stage4-trials.csv</x:v>
      </x:c>
    </x:row>
    <x:row r="16" ht="44" customHeight="1">
      <x:c r="A16" s="9" t="str">
        <x:v>regression-optuna-20261021-stage4-trial-1</x:v>
      </x:c>
      <x:c r="B16" s="9" t="str">
        <x:v>Регрессия</x:v>
      </x:c>
      <x:c r="C16" s="9" t="n">
        <x:v>1</x:v>
      </x:c>
      <x:c r="D16" s="9" t="str">
        <x:v>rmse</x:v>
      </x:c>
      <x:c r="E16" s="10" t="n">
        <x:v>43.992092456566546</x:v>
      </x:c>
      <x:c r="F16" s="9" t="str">
        <x:v>{"depth":8,"iterations":500,"l2_leaf_reg":4.426505507739147,"learning_rate":0.0874116944886467}</x:v>
      </x:c>
      <x:c r="G16" s="11" t="n">
        <x:v>2.97</x:v>
      </x:c>
      <x:c r="H16" s="9" t="str">
        <x:v>COMPLETE</x:v>
      </x:c>
      <x:c r="I16" s="9"/>
      <x:c r="J16" s="9" t="str">
        <x:v>reports/regression-optuna-20261021-stage4-trials.csv</x:v>
      </x:c>
    </x:row>
    <x:row r="17" ht="44" customHeight="1">
      <x:c r="A17" s="9" t="str">
        <x:v>regression-optuna-20261021-stage4-trial-2</x:v>
      </x:c>
      <x:c r="B17" s="9" t="str">
        <x:v>Регрессия</x:v>
      </x:c>
      <x:c r="C17" s="9" t="n">
        <x:v>2</x:v>
      </x:c>
      <x:c r="D17" s="9" t="str">
        <x:v>rmse</x:v>
      </x:c>
      <x:c r="E17" s="10" t="n">
        <x:v>47.05707797940996</x:v>
      </x:c>
      <x:c r="F17" s="9" t="str">
        <x:v>{"depth":4,"iterations":400,"l2_leaf_reg":8.605201659336437,"learning_rate":0.0224831270535195}</x:v>
      </x:c>
      <x:c r="G17" s="11" t="n">
        <x:v>1.44</x:v>
      </x:c>
      <x:c r="H17" s="9" t="str">
        <x:v>COMPLETE</x:v>
      </x:c>
      <x:c r="I17" s="9"/>
      <x:c r="J17" s="9" t="str">
        <x:v>reports/regression-optuna-20261021-stage4-trials.csv</x:v>
      </x:c>
    </x:row>
    <x:row r="18" ht="44" customHeight="1">
      <x:c r="A18" s="9" t="str">
        <x:v>regression-optuna-20261021-stage4-trial-3</x:v>
      </x:c>
      <x:c r="B18" s="9" t="str">
        <x:v>Регрессия</x:v>
      </x:c>
      <x:c r="C18" s="9" t="n">
        <x:v>3</x:v>
      </x:c>
      <x:c r="D18" s="9" t="str">
        <x:v>rmse</x:v>
      </x:c>
      <x:c r="E18" s="10" t="n">
        <x:v>45.94774596732988</x:v>
      </x:c>
      <x:c r="F18" s="9" t="str">
        <x:v>{"depth":7,"iterations":700,"l2_leaf_reg":11.135469245723131,"learning_rate":0.020846957895078}</x:v>
      </x:c>
      <x:c r="G18" s="11" t="n">
        <x:v>3.06</x:v>
      </x:c>
      <x:c r="H18" s="9" t="str">
        <x:v>COMPLETE</x:v>
      </x:c>
      <x:c r="I18" s="9"/>
      <x:c r="J18" s="9" t="str">
        <x:v>reports/regression-optuna-20261021-stage4-trials.csv</x:v>
      </x:c>
    </x:row>
    <x:row r="19" ht="44" customHeight="1">
      <x:c r="A19" s="9" t="str">
        <x:v>regression-optuna-20261021-stage4-trial-4</x:v>
      </x:c>
      <x:c r="B19" s="9" t="str">
        <x:v>Регрессия</x:v>
      </x:c>
      <x:c r="C19" s="9" t="n">
        <x:v>4</x:v>
      </x:c>
      <x:c r="D19" s="9" t="str">
        <x:v>rmse</x:v>
      </x:c>
      <x:c r="E19" s="10" t="n">
        <x:v>44.751591826319405</x:v>
      </x:c>
      <x:c r="F19" s="9" t="str">
        <x:v>{"depth":8,"iterations":1000,"l2_leaf_reg":1.0456446489411726,"learning_rate":0.1410699020300044}</x:v>
      </x:c>
      <x:c r="G19" s="11" t="n">
        <x:v>5.69</x:v>
      </x:c>
      <x:c r="H19" s="9" t="str">
        <x:v>COMPLETE</x:v>
      </x:c>
      <x:c r="I19" s="9"/>
      <x:c r="J19" s="9" t="str">
        <x:v>reports/regression-optuna-20261021-stage4-trials.csv</x:v>
      </x:c>
    </x:row>
    <x:row r="20" ht="44" customHeight="1">
      <x:c r="A20" s="9" t="str">
        <x:v>regression-optuna-20261021-stage4-trial-5</x:v>
      </x:c>
      <x:c r="B20" s="9" t="str">
        <x:v>Регрессия</x:v>
      </x:c>
      <x:c r="C20" s="9" t="n">
        <x:v>5</x:v>
      </x:c>
      <x:c r="D20" s="9" t="str">
        <x:v>rmse</x:v>
      </x:c>
      <x:c r="E20" s="10" t="n">
        <x:v>43.42146452181411</x:v>
      </x:c>
      <x:c r="F20" s="9" t="str">
        <x:v>{"depth":8,"iterations":700,"l2_leaf_reg":3.788825201453364,"learning_rate":0.103909912378594}</x:v>
      </x:c>
      <x:c r="G20" s="11" t="n">
        <x:v>3.94</x:v>
      </x:c>
      <x:c r="H20" s="9" t="str">
        <x:v>COMPLETE</x:v>
      </x:c>
      <x:c r="I20" s="9"/>
      <x:c r="J20" s="9" t="str">
        <x:v>reports/regression-optuna-20261021-stage4-trials.csv</x:v>
      </x:c>
    </x:row>
    <x:row r="21" ht="44" customHeight="1">
      <x:c r="A21" s="9" t="str">
        <x:v>regression-optuna-20261021-stage4-trial-6</x:v>
      </x:c>
      <x:c r="B21" s="9" t="str">
        <x:v>Регрессия</x:v>
      </x:c>
      <x:c r="C21" s="9" t="n">
        <x:v>6</x:v>
      </x:c>
      <x:c r="D21" s="9" t="str">
        <x:v>rmse</x:v>
      </x:c>
      <x:c r="E21" s="10" t="n">
        <x:v>44.37181982109653</x:v>
      </x:c>
      <x:c r="F21" s="9" t="str">
        <x:v>{"depth":6,"iterations":800,"l2_leaf_reg":2.4226293262246146,"learning_rate":0.0657251405566256}</x:v>
      </x:c>
      <x:c r="G21" s="11" t="n">
        <x:v>2.97</x:v>
      </x:c>
      <x:c r="H21" s="9" t="str">
        <x:v>COMPLETE</x:v>
      </x:c>
      <x:c r="I21" s="9"/>
      <x:c r="J21" s="9" t="str">
        <x:v>reports/regression-optuna-20261021-stage4-trials.csv</x:v>
      </x:c>
    </x:row>
    <x:row r="22" ht="44" customHeight="1">
      <x:c r="A22" s="9" t="str">
        <x:v>regression-optuna-20261021-stage4-trial-7</x:v>
      </x:c>
      <x:c r="B22" s="9" t="str">
        <x:v>Регрессия</x:v>
      </x:c>
      <x:c r="C22" s="9" t="n">
        <x:v>7</x:v>
      </x:c>
      <x:c r="D22" s="9" t="str">
        <x:v>rmse</x:v>
      </x:c>
      <x:c r="E22" s="10" t="n">
        <x:v>44.590037224861774</x:v>
      </x:c>
      <x:c r="F22" s="9" t="str">
        <x:v>{"depth":4,"iterations":900,"l2_leaf_reg":5.804889321664829,"learning_rate":0.1479628341547509}</x:v>
      </x:c>
      <x:c r="G22" s="11" t="n">
        <x:v>2.57</x:v>
      </x:c>
      <x:c r="H22" s="9" t="str">
        <x:v>COMPLETE</x:v>
      </x:c>
      <x:c r="I22" s="9"/>
      <x:c r="J22" s="9" t="str">
        <x:v>reports/regression-optuna-20261021-stage4-trials.csv</x:v>
      </x:c>
    </x:row>
  </x:sheetData>
  <x:pageMargins left="0.7" right="0.7" top="0.75" bottom="0.75" header="0.3" footer="0.3"/>
  <x:tableParts count="1">
    <x:tablePart xmlns:r="http://schemas.openxmlformats.org/officeDocument/2006/relationships" r:id="Rfd1091a1852546b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3" hidden="0" customWidth="1"/>
    <x:col min="2" max="2" width="48" hidden="0" customWidth="1"/>
    <x:col min="3" max="3" width="85" hidden="0" customWidth="1"/>
    <x:col min="4" max="4" width="70" hidden="0" customWidth="1"/>
  </x:cols>
  <x:sheetData>
    <x:row r="2">
      <x:c r="A2" s="1" t="str">
        <x:v>Конфигурации и источники</x:v>
      </x:c>
    </x:row>
    <x:row r="4">
      <x:c r="A4" s="2" t="str">
        <x:v>ID связывает настройку с журналом запусков. Источники указаны относительно командного репозитория.</x:v>
      </x:c>
    </x:row>
    <x:row r="6" ht="34" customHeight="1">
      <x:c r="A6" s="8" t="str">
        <x:v>ID запуска</x:v>
      </x:c>
      <x:c r="B6" s="8" t="str">
        <x:v>Параметр / сведения</x:v>
      </x:c>
      <x:c r="C6" s="8" t="str">
        <x:v>Значение</x:v>
      </x:c>
      <x:c r="D6" s="8" t="str">
        <x:v>Источник</x:v>
      </x:c>
    </x:row>
    <x:row r="7" ht="34" customHeight="1">
      <x:c r="A7" s="9" t="str">
        <x:v>constant-regression-reference</x:v>
      </x:c>
      <x:c r="B7" s="9" t="str">
        <x:v>strategy</x:v>
      </x:c>
      <x:c r="C7" s="9" t="str">
        <x:v>mean</x:v>
      </x:c>
      <x:c r="D7" s="9" t="str">
        <x:v>reports/regression-20261021-195542.json</x:v>
      </x:c>
    </x:row>
    <x:row r="8" ht="34" customHeight="1">
      <x:c r="A8" s="9" t="str">
        <x:v>constant-regression-reference</x:v>
      </x:c>
      <x:c r="B8" s="9" t="str">
        <x:v>split</x:v>
      </x:c>
      <x:c r="C8" s="9" t="str">
        <x:v>Year_Factor &lt; 5 train; == 5 validation</x:v>
      </x:c>
      <x:c r="D8" s="9" t="str">
        <x:v>reports/regression-20261021-195542.json</x:v>
      </x:c>
    </x:row>
    <x:row r="9" ht="34" customHeight="1">
      <x:c r="A9" s="9" t="str">
        <x:v>constant-regression-reference</x:v>
      </x:c>
      <x:c r="B9" s="9" t="str">
        <x:v>seed</x:v>
      </x:c>
      <x:c r="C9" s="9" t="n">
        <x:v>42</x:v>
      </x:c>
      <x:c r="D9" s="9" t="str">
        <x:v>reports/regression-20261021-195542.json</x:v>
      </x:c>
    </x:row>
    <x:row r="10" ht="34" customHeight="1">
      <x:c r="A10" s="9" t="str">
        <x:v>constant-regression-reference</x:v>
      </x:c>
      <x:c r="B10" s="9" t="str">
        <x:v>seconds (собственное время)</x:v>
      </x:c>
      <x:c r="C10" s="9"/>
      <x:c r="D10" s="9" t="str">
        <x:v>reports/regression-20261021-195542.json</x:v>
      </x:c>
    </x:row>
    <x:row r="11" ht="34" customHeight="1">
      <x:c r="A11" s="9" t="str">
        <x:v>constant-regression-reference</x:v>
      </x:c>
      <x:c r="B11" s="9" t="str">
        <x:v>Примечание времени</x:v>
      </x:c>
      <x:c r="C11" s="9" t="str">
        <x:v>Входит в первый запуск; отдельное время не измерялось</x:v>
      </x:c>
      <x:c r="D11" s="9" t="str">
        <x:v>reports/regression-20261021-195542.json</x:v>
      </x:c>
    </x:row>
    <x:row r="12" ht="34" customHeight="1">
      <x:c r="A12" s="9" t="str">
        <x:v>constant-regression-reference</x:v>
      </x:c>
      <x:c r="B12" s="9" t="str">
        <x:v>SHA-256 train.csv</x:v>
      </x:c>
      <x:c r="C12" s="9" t="str">
        <x:v>096dac951cf44fade5417ddd0465c41beee3009663dbea34e8d464a4d3c7f775</x:v>
      </x:c>
      <x:c r="D12" s="9" t="str">
        <x:v>reports/regression-20261021-195542.json</x:v>
      </x:c>
    </x:row>
    <x:row r="13" ht="34" customHeight="1">
      <x:c r="A13" s="9" t="str">
        <x:v>constant-regression-reference</x:v>
      </x:c>
      <x:c r="B13" s="9" t="str">
        <x:v>SHA-256 test.csv</x:v>
      </x:c>
      <x:c r="C13" s="9" t="str">
        <x:v>a7c64db92a07e1a5b1e7f637bdd434da7a5e98a1676c854ec6a645c9e5827095</x:v>
      </x:c>
      <x:c r="D13" s="9" t="str">
        <x:v>reports/regression-20261021-195542.json</x:v>
      </x:c>
    </x:row>
    <x:row r="14" ht="34" customHeight="1">
      <x:c r="A14" s="9" t="str">
        <x:v>constant-regression-reference</x:v>
      </x:c>
      <x:c r="B14" s="9" t="str">
        <x:v>SHA-256 sample_submission.csv</x:v>
      </x:c>
      <x:c r="C14" s="9" t="str">
        <x:v>0016b18d58c47bbbe842556b4957ba215b3ad50121c9923260537d936a09eae1</x:v>
      </x:c>
      <x:c r="D14" s="9" t="str">
        <x:v>reports/regression-20261021-195542.json</x:v>
      </x:c>
    </x:row>
    <x:row r="15" ht="34" customHeight="1">
      <x:c r="A15" s="9" t="str">
        <x:v>constant-multiclass-reference</x:v>
      </x:c>
      <x:c r="B15" s="9" t="str">
        <x:v>strategy</x:v>
      </x:c>
      <x:c r="C15" s="9" t="str">
        <x:v>most_frequent</x:v>
      </x:c>
      <x:c r="D15" s="9" t="str">
        <x:v>reports/multiclass-20261021-195652.json</x:v>
      </x:c>
    </x:row>
    <x:row r="16" ht="34" customHeight="1">
      <x:c r="A16" s="9" t="str">
        <x:v>constant-multiclass-reference</x:v>
      </x:c>
      <x:c r="B16" s="9" t="str">
        <x:v>split</x:v>
      </x:c>
      <x:c r="C16" s="9" t="str">
        <x:v>stratified 80/20; random_state=42</x:v>
      </x:c>
      <x:c r="D16" s="9" t="str">
        <x:v>reports/multiclass-20261021-195652.json</x:v>
      </x:c>
    </x:row>
    <x:row r="17" ht="34" customHeight="1">
      <x:c r="A17" s="9" t="str">
        <x:v>constant-multiclass-reference</x:v>
      </x:c>
      <x:c r="B17" s="9" t="str">
        <x:v>seed</x:v>
      </x:c>
      <x:c r="C17" s="9" t="n">
        <x:v>42</x:v>
      </x:c>
      <x:c r="D17" s="9" t="str">
        <x:v>reports/multiclass-20261021-195652.json</x:v>
      </x:c>
    </x:row>
    <x:row r="18" ht="34" customHeight="1">
      <x:c r="A18" s="9" t="str">
        <x:v>constant-multiclass-reference</x:v>
      </x:c>
      <x:c r="B18" s="9" t="str">
        <x:v>seconds (собственное время)</x:v>
      </x:c>
      <x:c r="C18" s="9"/>
      <x:c r="D18" s="9" t="str">
        <x:v>reports/multiclass-20261021-195652.json</x:v>
      </x:c>
    </x:row>
    <x:row r="19" ht="34" customHeight="1">
      <x:c r="A19" s="9" t="str">
        <x:v>constant-multiclass-reference</x:v>
      </x:c>
      <x:c r="B19" s="9" t="str">
        <x:v>Примечание времени</x:v>
      </x:c>
      <x:c r="C19" s="9" t="str">
        <x:v>Входит в первый запуск; отдельное время не измерялось</x:v>
      </x:c>
      <x:c r="D19" s="9" t="str">
        <x:v>reports/multiclass-20261021-195652.json</x:v>
      </x:c>
    </x:row>
    <x:row r="20" ht="34" customHeight="1">
      <x:c r="A20" s="9" t="str">
        <x:v>constant-multiclass-reference</x:v>
      </x:c>
      <x:c r="B20" s="9" t="str">
        <x:v>SHA-256 train.csv</x:v>
      </x:c>
      <x:c r="C20" s="9" t="str">
        <x:v>171a8915070b7575b729a32f70a45d1ad7b6f43c65b4ce12a0a68af30d5cb4e0</x:v>
      </x:c>
      <x:c r="D20" s="9" t="str">
        <x:v>reports/multiclass-20261021-195652.json</x:v>
      </x:c>
    </x:row>
    <x:row r="21" ht="34" customHeight="1">
      <x:c r="A21" s="9" t="str">
        <x:v>constant-multiclass-reference</x:v>
      </x:c>
      <x:c r="B21" s="9" t="str">
        <x:v>SHA-256 test.csv</x:v>
      </x:c>
      <x:c r="C21" s="9" t="str">
        <x:v>b825449603931b5f05a8855e3d92b57775221c93ed4730ac6b4c75b9ea608862</x:v>
      </x:c>
      <x:c r="D21" s="9" t="str">
        <x:v>reports/multiclass-20261021-195652.json</x:v>
      </x:c>
    </x:row>
    <x:row r="22" ht="34" customHeight="1">
      <x:c r="A22" s="9" t="str">
        <x:v>constant-multiclass-reference</x:v>
      </x:c>
      <x:c r="B22" s="9" t="str">
        <x:v>SHA-256 sample_submission.csv</x:v>
      </x:c>
      <x:c r="C22" s="9" t="str">
        <x:v>4d23642fcff01e49b0ef5a9f018b2381c12fad97282fa586285ad49b01e9623e</x:v>
      </x:c>
      <x:c r="D22" s="9" t="str">
        <x:v>reports/multiclass-20261021-195652.json</x:v>
      </x:c>
    </x:row>
    <x:row r="23" ht="34" customHeight="1">
      <x:c r="A23" s="9" t="str">
        <x:v>regression-20261021-195542</x:v>
      </x:c>
      <x:c r="B23" s="9" t="str">
        <x:v>Конфигурация по сохранившимся сведениям</x:v>
      </x:c>
      <x:c r="C23" s="9" t="str">
        <x:v>alpha=1; solver=lsqr; tol=1e-6 (восстановлено по коду первого этапа)</x:v>
      </x:c>
      <x:c r="D23" s="9" t="str">
        <x:v>reports/regression-20261021-195542.json</x:v>
      </x:c>
    </x:row>
    <x:row r="24" ht="34" customHeight="1">
      <x:c r="A24" s="9" t="str">
        <x:v>regression-20261021-195542</x:v>
      </x:c>
      <x:c r="B24" s="9" t="str">
        <x:v>split</x:v>
      </x:c>
      <x:c r="C24" s="9" t="str">
        <x:v>Year_Factor &lt; 5 train; == 5 validation</x:v>
      </x:c>
      <x:c r="D24" s="9" t="str">
        <x:v>reports/regression-20261021-195542.json</x:v>
      </x:c>
    </x:row>
    <x:row r="25" ht="34" customHeight="1">
      <x:c r="A25" s="9" t="str">
        <x:v>regression-20261021-195542</x:v>
      </x:c>
      <x:c r="B25" s="9" t="str">
        <x:v>seed</x:v>
      </x:c>
      <x:c r="C25" s="9" t="n">
        <x:v>42</x:v>
      </x:c>
      <x:c r="D25" s="9" t="str">
        <x:v>reports/regression-20261021-195542.json</x:v>
      </x:c>
    </x:row>
    <x:row r="26" ht="34" customHeight="1">
      <x:c r="A26" s="9" t="str">
        <x:v>regression-20261021-195542</x:v>
      </x:c>
      <x:c r="B26" s="9" t="str">
        <x:v>seconds (собственное время)</x:v>
      </x:c>
      <x:c r="C26" s="9" t="n">
        <x:v>2</x:v>
      </x:c>
      <x:c r="D26" s="9" t="str">
        <x:v>reports/regression-20261021-195542.json</x:v>
      </x:c>
    </x:row>
    <x:row r="27" ht="34" customHeight="1">
      <x:c r="A27" s="9" t="str">
        <x:v>regression-20261021-195542</x:v>
      </x:c>
      <x:c r="B27" s="9" t="str">
        <x:v>Примечание времени</x:v>
      </x:c>
      <x:c r="C27" s="9" t="str">
        <x:v>Полный запуск с финальным обучением, если не указано иное</x:v>
      </x:c>
      <x:c r="D27" s="9" t="str">
        <x:v>reports/regression-20261021-195542.json</x:v>
      </x:c>
    </x:row>
    <x:row r="28" ht="34" customHeight="1">
      <x:c r="A28" s="9" t="str">
        <x:v>regression-20261021-195542</x:v>
      </x:c>
      <x:c r="B28" s="9" t="str">
        <x:v>SHA-256 train.csv</x:v>
      </x:c>
      <x:c r="C28" s="9" t="str">
        <x:v>096dac951cf44fade5417ddd0465c41beee3009663dbea34e8d464a4d3c7f775</x:v>
      </x:c>
      <x:c r="D28" s="9" t="str">
        <x:v>reports/regression-20261021-195542.json</x:v>
      </x:c>
    </x:row>
    <x:row r="29" ht="34" customHeight="1">
      <x:c r="A29" s="9" t="str">
        <x:v>regression-20261021-195542</x:v>
      </x:c>
      <x:c r="B29" s="9" t="str">
        <x:v>SHA-256 test.csv</x:v>
      </x:c>
      <x:c r="C29" s="9" t="str">
        <x:v>a7c64db92a07e1a5b1e7f637bdd434da7a5e98a1676c854ec6a645c9e5827095</x:v>
      </x:c>
      <x:c r="D29" s="9" t="str">
        <x:v>reports/regression-20261021-195542.json</x:v>
      </x:c>
    </x:row>
    <x:row r="30" ht="34" customHeight="1">
      <x:c r="A30" s="9" t="str">
        <x:v>regression-20261021-195542</x:v>
      </x:c>
      <x:c r="B30" s="9" t="str">
        <x:v>SHA-256 sample_submission.csv</x:v>
      </x:c>
      <x:c r="C30" s="9" t="str">
        <x:v>0016b18d58c47bbbe842556b4957ba215b3ad50121c9923260537d936a09eae1</x:v>
      </x:c>
      <x:c r="D30" s="9" t="str">
        <x:v>reports/regression-20261021-195542.json</x:v>
      </x:c>
    </x:row>
    <x:row r="31" ht="34" customHeight="1">
      <x:c r="A31" s="9" t="str">
        <x:v>multiclass-20261021-195652</x:v>
      </x:c>
      <x:c r="B31" s="9" t="str">
        <x:v>Конфигурация по сохранившимся сведениям</x:v>
      </x:c>
      <x:c r="C31" s="9" t="str">
        <x:v>solver=lbfgs; max_iter=3000; random_state=42 (по коду первого этапа)</x:v>
      </x:c>
      <x:c r="D31" s="9" t="str">
        <x:v>reports/multiclass-20261021-195652.json</x:v>
      </x:c>
    </x:row>
    <x:row r="32" ht="34" customHeight="1">
      <x:c r="A32" s="9" t="str">
        <x:v>multiclass-20261021-195652</x:v>
      </x:c>
      <x:c r="B32" s="9" t="str">
        <x:v>split</x:v>
      </x:c>
      <x:c r="C32" s="9" t="str">
        <x:v>stratified 80/20; random_state=42</x:v>
      </x:c>
      <x:c r="D32" s="9" t="str">
        <x:v>reports/multiclass-20261021-195652.json</x:v>
      </x:c>
    </x:row>
    <x:row r="33" ht="34" customHeight="1">
      <x:c r="A33" s="9" t="str">
        <x:v>multiclass-20261021-195652</x:v>
      </x:c>
      <x:c r="B33" s="9" t="str">
        <x:v>seed</x:v>
      </x:c>
      <x:c r="C33" s="9" t="n">
        <x:v>42</x:v>
      </x:c>
      <x:c r="D33" s="9" t="str">
        <x:v>reports/multiclass-20261021-195652.json</x:v>
      </x:c>
    </x:row>
    <x:row r="34" ht="34" customHeight="1">
      <x:c r="A34" s="9" t="str">
        <x:v>multiclass-20261021-195652</x:v>
      </x:c>
      <x:c r="B34" s="9" t="str">
        <x:v>seconds (собственное время)</x:v>
      </x:c>
      <x:c r="C34" s="9" t="n">
        <x:v>23.26</x:v>
      </x:c>
      <x:c r="D34" s="9" t="str">
        <x:v>reports/multiclass-20261021-195652.json</x:v>
      </x:c>
    </x:row>
    <x:row r="35" ht="34" customHeight="1">
      <x:c r="A35" s="9" t="str">
        <x:v>multiclass-20261021-195652</x:v>
      </x:c>
      <x:c r="B35" s="9" t="str">
        <x:v>Примечание времени</x:v>
      </x:c>
      <x:c r="C35" s="9" t="str">
        <x:v>Полный запуск с финальным обучением, если не указано иное</x:v>
      </x:c>
      <x:c r="D35" s="9" t="str">
        <x:v>reports/multiclass-20261021-195652.json</x:v>
      </x:c>
    </x:row>
    <x:row r="36" ht="34" customHeight="1">
      <x:c r="A36" s="9" t="str">
        <x:v>multiclass-20261021-195652</x:v>
      </x:c>
      <x:c r="B36" s="9" t="str">
        <x:v>SHA-256 train.csv</x:v>
      </x:c>
      <x:c r="C36" s="9" t="str">
        <x:v>171a8915070b7575b729a32f70a45d1ad7b6f43c65b4ce12a0a68af30d5cb4e0</x:v>
      </x:c>
      <x:c r="D36" s="9" t="str">
        <x:v>reports/multiclass-20261021-195652.json</x:v>
      </x:c>
    </x:row>
    <x:row r="37" ht="34" customHeight="1">
      <x:c r="A37" s="9" t="str">
        <x:v>multiclass-20261021-195652</x:v>
      </x:c>
      <x:c r="B37" s="9" t="str">
        <x:v>SHA-256 test.csv</x:v>
      </x:c>
      <x:c r="C37" s="9" t="str">
        <x:v>b825449603931b5f05a8855e3d92b57775221c93ed4730ac6b4c75b9ea608862</x:v>
      </x:c>
      <x:c r="D37" s="9" t="str">
        <x:v>reports/multiclass-20261021-195652.json</x:v>
      </x:c>
    </x:row>
    <x:row r="38" ht="34" customHeight="1">
      <x:c r="A38" s="9" t="str">
        <x:v>multiclass-20261021-195652</x:v>
      </x:c>
      <x:c r="B38" s="9" t="str">
        <x:v>SHA-256 sample_submission.csv</x:v>
      </x:c>
      <x:c r="C38" s="9" t="str">
        <x:v>4d23642fcff01e49b0ef5a9f018b2381c12fad97282fa586285ad49b01e9623e</x:v>
      </x:c>
      <x:c r="D38" s="9" t="str">
        <x:v>reports/multiclass-20261021-195652.json</x:v>
      </x:c>
    </x:row>
    <x:row r="39" ht="34" customHeight="1">
      <x:c r="A39" s="9" t="str">
        <x:v>regression-forest-20261021-stage2</x:v>
      </x:c>
      <x:c r="B39" s="9" t="str">
        <x:v>bootstrap</x:v>
      </x:c>
      <x:c r="C39" s="18" t="b">
        <x:v>1</x:v>
      </x:c>
      <x:c r="D39" s="9" t="str">
        <x:v>reports/regression-forest-20261021-stage2.json</x:v>
      </x:c>
    </x:row>
    <x:row r="40" ht="34" customHeight="1">
      <x:c r="A40" s="9" t="str">
        <x:v>regression-forest-20261021-stage2</x:v>
      </x:c>
      <x:c r="B40" s="9" t="str">
        <x:v>ccp_alpha</x:v>
      </x:c>
      <x:c r="C40" s="9" t="n">
        <x:v>0</x:v>
      </x:c>
      <x:c r="D40" s="9" t="str">
        <x:v>reports/regression-forest-20261021-stage2.json</x:v>
      </x:c>
    </x:row>
    <x:row r="41" ht="34" customHeight="1">
      <x:c r="A41" s="9" t="str">
        <x:v>regression-forest-20261021-stage2</x:v>
      </x:c>
      <x:c r="B41" s="9" t="str">
        <x:v>criterion</x:v>
      </x:c>
      <x:c r="C41" s="9" t="str">
        <x:v>squared_error</x:v>
      </x:c>
      <x:c r="D41" s="9" t="str">
        <x:v>reports/regression-forest-20261021-stage2.json</x:v>
      </x:c>
    </x:row>
    <x:row r="42" ht="34" customHeight="1">
      <x:c r="A42" s="9" t="str">
        <x:v>regression-forest-20261021-stage2</x:v>
      </x:c>
      <x:c r="B42" s="9" t="str">
        <x:v>max_depth</x:v>
      </x:c>
      <x:c r="C42" s="9" t="n">
        <x:v>20</x:v>
      </x:c>
      <x:c r="D42" s="9" t="str">
        <x:v>reports/regression-forest-20261021-stage2.json</x:v>
      </x:c>
    </x:row>
    <x:row r="43" ht="34" customHeight="1">
      <x:c r="A43" s="9" t="str">
        <x:v>regression-forest-20261021-stage2</x:v>
      </x:c>
      <x:c r="B43" s="9" t="str">
        <x:v>max_features</x:v>
      </x:c>
      <x:c r="C43" s="9" t="n">
        <x:v>0.8</x:v>
      </x:c>
      <x:c r="D43" s="9" t="str">
        <x:v>reports/regression-forest-20261021-stage2.json</x:v>
      </x:c>
    </x:row>
    <x:row r="44" ht="34" customHeight="1">
      <x:c r="A44" s="9" t="str">
        <x:v>regression-forest-20261021-stage2</x:v>
      </x:c>
      <x:c r="B44" s="9" t="str">
        <x:v>max_leaf_nodes</x:v>
      </x:c>
      <x:c r="C44" s="9" t="str">
        <x:v>None</x:v>
      </x:c>
      <x:c r="D44" s="9" t="str">
        <x:v>reports/regression-forest-20261021-stage2.json</x:v>
      </x:c>
    </x:row>
    <x:row r="45" ht="34" customHeight="1">
      <x:c r="A45" s="9" t="str">
        <x:v>regression-forest-20261021-stage2</x:v>
      </x:c>
      <x:c r="B45" s="9" t="str">
        <x:v>max_samples</x:v>
      </x:c>
      <x:c r="C45" s="9" t="str">
        <x:v>None</x:v>
      </x:c>
      <x:c r="D45" s="9" t="str">
        <x:v>reports/regression-forest-20261021-stage2.json</x:v>
      </x:c>
    </x:row>
    <x:row r="46" ht="34" customHeight="1">
      <x:c r="A46" s="9" t="str">
        <x:v>regression-forest-20261021-stage2</x:v>
      </x:c>
      <x:c r="B46" s="9" t="str">
        <x:v>min_impurity_decrease</x:v>
      </x:c>
      <x:c r="C46" s="9" t="n">
        <x:v>0</x:v>
      </x:c>
      <x:c r="D46" s="9" t="str">
        <x:v>reports/regression-forest-20261021-stage2.json</x:v>
      </x:c>
    </x:row>
    <x:row r="47" ht="34" customHeight="1">
      <x:c r="A47" s="9" t="str">
        <x:v>regression-forest-20261021-stage2</x:v>
      </x:c>
      <x:c r="B47" s="9" t="str">
        <x:v>min_samples_leaf</x:v>
      </x:c>
      <x:c r="C47" s="9" t="n">
        <x:v>2</x:v>
      </x:c>
      <x:c r="D47" s="9" t="str">
        <x:v>reports/regression-forest-20261021-stage2.json</x:v>
      </x:c>
    </x:row>
    <x:row r="48" ht="34" customHeight="1">
      <x:c r="A48" s="9" t="str">
        <x:v>regression-forest-20261021-stage2</x:v>
      </x:c>
      <x:c r="B48" s="9" t="str">
        <x:v>min_samples_split</x:v>
      </x:c>
      <x:c r="C48" s="9" t="n">
        <x:v>2</x:v>
      </x:c>
      <x:c r="D48" s="9" t="str">
        <x:v>reports/regression-forest-20261021-stage2.json</x:v>
      </x:c>
    </x:row>
    <x:row r="49" ht="34" customHeight="1">
      <x:c r="A49" s="9" t="str">
        <x:v>regression-forest-20261021-stage2</x:v>
      </x:c>
      <x:c r="B49" s="9" t="str">
        <x:v>min_weight_fraction_leaf</x:v>
      </x:c>
      <x:c r="C49" s="9" t="n">
        <x:v>0</x:v>
      </x:c>
      <x:c r="D49" s="9" t="str">
        <x:v>reports/regression-forest-20261021-stage2.json</x:v>
      </x:c>
    </x:row>
    <x:row r="50" ht="34" customHeight="1">
      <x:c r="A50" s="9" t="str">
        <x:v>regression-forest-20261021-stage2</x:v>
      </x:c>
      <x:c r="B50" s="9" t="str">
        <x:v>monotonic_cst</x:v>
      </x:c>
      <x:c r="C50" s="9" t="str">
        <x:v>None</x:v>
      </x:c>
      <x:c r="D50" s="9" t="str">
        <x:v>reports/regression-forest-20261021-stage2.json</x:v>
      </x:c>
    </x:row>
    <x:row r="51" ht="34" customHeight="1">
      <x:c r="A51" s="9" t="str">
        <x:v>regression-forest-20261021-stage2</x:v>
      </x:c>
      <x:c r="B51" s="9" t="str">
        <x:v>n_estimators</x:v>
      </x:c>
      <x:c r="C51" s="9" t="n">
        <x:v>150</x:v>
      </x:c>
      <x:c r="D51" s="9" t="str">
        <x:v>reports/regression-forest-20261021-stage2.json</x:v>
      </x:c>
    </x:row>
    <x:row r="52" ht="34" customHeight="1">
      <x:c r="A52" s="9" t="str">
        <x:v>regression-forest-20261021-stage2</x:v>
      </x:c>
      <x:c r="B52" s="9" t="str">
        <x:v>n_jobs</x:v>
      </x:c>
      <x:c r="C52" s="9" t="n">
        <x:v>4</x:v>
      </x:c>
      <x:c r="D52" s="9" t="str">
        <x:v>reports/regression-forest-20261021-stage2.json</x:v>
      </x:c>
    </x:row>
    <x:row r="53" ht="34" customHeight="1">
      <x:c r="A53" s="9" t="str">
        <x:v>regression-forest-20261021-stage2</x:v>
      </x:c>
      <x:c r="B53" s="9" t="str">
        <x:v>oob_score</x:v>
      </x:c>
      <x:c r="C53" s="18" t="b">
        <x:v>0</x:v>
      </x:c>
      <x:c r="D53" s="9" t="str">
        <x:v>reports/regression-forest-20261021-stage2.json</x:v>
      </x:c>
    </x:row>
    <x:row r="54" ht="34" customHeight="1">
      <x:c r="A54" s="9" t="str">
        <x:v>regression-forest-20261021-stage2</x:v>
      </x:c>
      <x:c r="B54" s="9" t="str">
        <x:v>random_state</x:v>
      </x:c>
      <x:c r="C54" s="9" t="n">
        <x:v>42</x:v>
      </x:c>
      <x:c r="D54" s="9" t="str">
        <x:v>reports/regression-forest-20261021-stage2.json</x:v>
      </x:c>
    </x:row>
    <x:row r="55" ht="34" customHeight="1">
      <x:c r="A55" s="9" t="str">
        <x:v>regression-forest-20261021-stage2</x:v>
      </x:c>
      <x:c r="B55" s="9" t="str">
        <x:v>verbose</x:v>
      </x:c>
      <x:c r="C55" s="9" t="n">
        <x:v>0</x:v>
      </x:c>
      <x:c r="D55" s="9" t="str">
        <x:v>reports/regression-forest-20261021-stage2.json</x:v>
      </x:c>
    </x:row>
    <x:row r="56" ht="34" customHeight="1">
      <x:c r="A56" s="9" t="str">
        <x:v>regression-forest-20261021-stage2</x:v>
      </x:c>
      <x:c r="B56" s="9" t="str">
        <x:v>warm_start</x:v>
      </x:c>
      <x:c r="C56" s="18" t="b">
        <x:v>0</x:v>
      </x:c>
      <x:c r="D56" s="9" t="str">
        <x:v>reports/regression-forest-20261021-stage2.json</x:v>
      </x:c>
    </x:row>
    <x:row r="57" ht="34" customHeight="1">
      <x:c r="A57" s="9" t="str">
        <x:v>regression-forest-20261021-stage2</x:v>
      </x:c>
      <x:c r="B57" s="9" t="str">
        <x:v>split</x:v>
      </x:c>
      <x:c r="C57" s="9" t="str">
        <x:v>Year_Factor &lt; 5 train; == 5 validation</x:v>
      </x:c>
      <x:c r="D57" s="9" t="str">
        <x:v>reports/regression-forest-20261021-stage2.json</x:v>
      </x:c>
    </x:row>
    <x:row r="58" ht="34" customHeight="1">
      <x:c r="A58" s="9" t="str">
        <x:v>regression-forest-20261021-stage2</x:v>
      </x:c>
      <x:c r="B58" s="9" t="str">
        <x:v>seed</x:v>
      </x:c>
      <x:c r="C58" s="9" t="n">
        <x:v>42</x:v>
      </x:c>
      <x:c r="D58" s="9" t="str">
        <x:v>reports/regression-forest-20261021-stage2.json</x:v>
      </x:c>
    </x:row>
    <x:row r="59" ht="34" customHeight="1">
      <x:c r="A59" s="9" t="str">
        <x:v>regression-forest-20261021-stage2</x:v>
      </x:c>
      <x:c r="B59" s="9" t="str">
        <x:v>seconds (собственное время)</x:v>
      </x:c>
      <x:c r="C59" s="9" t="n">
        <x:v>30.29</x:v>
      </x:c>
      <x:c r="D59" s="9" t="str">
        <x:v>reports/regression-forest-20261021-stage2.json</x:v>
      </x:c>
    </x:row>
    <x:row r="60" ht="34" customHeight="1">
      <x:c r="A60" s="9" t="str">
        <x:v>regression-forest-20261021-stage2</x:v>
      </x:c>
      <x:c r="B60" s="9" t="str">
        <x:v>Примечание времени</x:v>
      </x:c>
      <x:c r="C60" s="9" t="str">
        <x:v>Полный запуск с финальным обучением, если не указано иное</x:v>
      </x:c>
      <x:c r="D60" s="9" t="str">
        <x:v>reports/regression-forest-20261021-stage2.json</x:v>
      </x:c>
    </x:row>
    <x:row r="61" ht="34" customHeight="1">
      <x:c r="A61" s="9" t="str">
        <x:v>regression-forest-20261021-stage2</x:v>
      </x:c>
      <x:c r="B61" s="9" t="str">
        <x:v>SHA-256 кода</x:v>
      </x:c>
      <x:c r="C61" s="9" t="str">
        <x:v>a96ac9b578a9fc443785401ae099eb1aba02fe9ea8e9cad78732dbccaf572503</x:v>
      </x:c>
      <x:c r="D61" s="9" t="str">
        <x:v>reports/regression-forest-20261021-stage2.json</x:v>
      </x:c>
    </x:row>
    <x:row r="62" ht="34" customHeight="1">
      <x:c r="A62" s="9" t="str">
        <x:v>regression-forest-20261021-stage2</x:v>
      </x:c>
      <x:c r="B62" s="9" t="str">
        <x:v>SHA-256 train.csv</x:v>
      </x:c>
      <x:c r="C62" s="9" t="str">
        <x:v>096dac951cf44fade5417ddd0465c41beee3009663dbea34e8d464a4d3c7f775</x:v>
      </x:c>
      <x:c r="D62" s="9" t="str">
        <x:v>reports/regression-forest-20261021-stage2.json</x:v>
      </x:c>
    </x:row>
    <x:row r="63" ht="34" customHeight="1">
      <x:c r="A63" s="9" t="str">
        <x:v>regression-forest-20261021-stage2</x:v>
      </x:c>
      <x:c r="B63" s="9" t="str">
        <x:v>SHA-256 test.csv</x:v>
      </x:c>
      <x:c r="C63" s="9" t="str">
        <x:v>a7c64db92a07e1a5b1e7f637bdd434da7a5e98a1676c854ec6a645c9e5827095</x:v>
      </x:c>
      <x:c r="D63" s="9" t="str">
        <x:v>reports/regression-forest-20261021-stage2.json</x:v>
      </x:c>
    </x:row>
    <x:row r="64" ht="34" customHeight="1">
      <x:c r="A64" s="9" t="str">
        <x:v>regression-forest-20261021-stage2</x:v>
      </x:c>
      <x:c r="B64" s="9" t="str">
        <x:v>SHA-256 sample_submission.csv</x:v>
      </x:c>
      <x:c r="C64" s="9" t="str">
        <x:v>0016b18d58c47bbbe842556b4957ba215b3ad50121c9923260537d936a09eae1</x:v>
      </x:c>
      <x:c r="D64" s="9" t="str">
        <x:v>reports/regression-forest-20261021-stage2.json</x:v>
      </x:c>
    </x:row>
    <x:row r="65" ht="34" customHeight="1">
      <x:c r="A65" s="9" t="str">
        <x:v>multiclass-forest-20261021-stage2</x:v>
      </x:c>
      <x:c r="B65" s="9" t="str">
        <x:v>bootstrap</x:v>
      </x:c>
      <x:c r="C65" s="18" t="b">
        <x:v>1</x:v>
      </x:c>
      <x:c r="D65" s="9" t="str">
        <x:v>reports/multiclass-forest-20261021-stage2.json</x:v>
      </x:c>
    </x:row>
    <x:row r="66" ht="34" customHeight="1">
      <x:c r="A66" s="9" t="str">
        <x:v>multiclass-forest-20261021-stage2</x:v>
      </x:c>
      <x:c r="B66" s="9" t="str">
        <x:v>ccp_alpha</x:v>
      </x:c>
      <x:c r="C66" s="9" t="n">
        <x:v>0</x:v>
      </x:c>
      <x:c r="D66" s="9" t="str">
        <x:v>reports/multiclass-forest-20261021-stage2.json</x:v>
      </x:c>
    </x:row>
    <x:row r="67" ht="34" customHeight="1">
      <x:c r="A67" s="9" t="str">
        <x:v>multiclass-forest-20261021-stage2</x:v>
      </x:c>
      <x:c r="B67" s="9" t="str">
        <x:v>class_weight</x:v>
      </x:c>
      <x:c r="C67" s="9" t="str">
        <x:v>None</x:v>
      </x:c>
      <x:c r="D67" s="9" t="str">
        <x:v>reports/multiclass-forest-20261021-stage2.json</x:v>
      </x:c>
    </x:row>
    <x:row r="68" ht="34" customHeight="1">
      <x:c r="A68" s="9" t="str">
        <x:v>multiclass-forest-20261021-stage2</x:v>
      </x:c>
      <x:c r="B68" s="9" t="str">
        <x:v>criterion</x:v>
      </x:c>
      <x:c r="C68" s="9" t="str">
        <x:v>gini</x:v>
      </x:c>
      <x:c r="D68" s="9" t="str">
        <x:v>reports/multiclass-forest-20261021-stage2.json</x:v>
      </x:c>
    </x:row>
    <x:row r="69" ht="34" customHeight="1">
      <x:c r="A69" s="9" t="str">
        <x:v>multiclass-forest-20261021-stage2</x:v>
      </x:c>
      <x:c r="B69" s="9" t="str">
        <x:v>max_depth</x:v>
      </x:c>
      <x:c r="C69" s="9" t="n">
        <x:v>20</x:v>
      </x:c>
      <x:c r="D69" s="9" t="str">
        <x:v>reports/multiclass-forest-20261021-stage2.json</x:v>
      </x:c>
    </x:row>
    <x:row r="70" ht="34" customHeight="1">
      <x:c r="A70" s="9" t="str">
        <x:v>multiclass-forest-20261021-stage2</x:v>
      </x:c>
      <x:c r="B70" s="9" t="str">
        <x:v>max_features</x:v>
      </x:c>
      <x:c r="C70" s="9" t="n">
        <x:v>0.8</x:v>
      </x:c>
      <x:c r="D70" s="9" t="str">
        <x:v>reports/multiclass-forest-20261021-stage2.json</x:v>
      </x:c>
    </x:row>
    <x:row r="71" ht="34" customHeight="1">
      <x:c r="A71" s="9" t="str">
        <x:v>multiclass-forest-20261021-stage2</x:v>
      </x:c>
      <x:c r="B71" s="9" t="str">
        <x:v>max_leaf_nodes</x:v>
      </x:c>
      <x:c r="C71" s="9" t="str">
        <x:v>None</x:v>
      </x:c>
      <x:c r="D71" s="9" t="str">
        <x:v>reports/multiclass-forest-20261021-stage2.json</x:v>
      </x:c>
    </x:row>
    <x:row r="72" ht="34" customHeight="1">
      <x:c r="A72" s="9" t="str">
        <x:v>multiclass-forest-20261021-stage2</x:v>
      </x:c>
      <x:c r="B72" s="9" t="str">
        <x:v>max_samples</x:v>
      </x:c>
      <x:c r="C72" s="9" t="str">
        <x:v>None</x:v>
      </x:c>
      <x:c r="D72" s="9" t="str">
        <x:v>reports/multiclass-forest-20261021-stage2.json</x:v>
      </x:c>
    </x:row>
    <x:row r="73" ht="34" customHeight="1">
      <x:c r="A73" s="9" t="str">
        <x:v>multiclass-forest-20261021-stage2</x:v>
      </x:c>
      <x:c r="B73" s="9" t="str">
        <x:v>min_impurity_decrease</x:v>
      </x:c>
      <x:c r="C73" s="9" t="n">
        <x:v>0</x:v>
      </x:c>
      <x:c r="D73" s="9" t="str">
        <x:v>reports/multiclass-forest-20261021-stage2.json</x:v>
      </x:c>
    </x:row>
    <x:row r="74" ht="34" customHeight="1">
      <x:c r="A74" s="9" t="str">
        <x:v>multiclass-forest-20261021-stage2</x:v>
      </x:c>
      <x:c r="B74" s="9" t="str">
        <x:v>min_samples_leaf</x:v>
      </x:c>
      <x:c r="C74" s="9" t="n">
        <x:v>2</x:v>
      </x:c>
      <x:c r="D74" s="9" t="str">
        <x:v>reports/multiclass-forest-20261021-stage2.json</x:v>
      </x:c>
    </x:row>
    <x:row r="75" ht="34" customHeight="1">
      <x:c r="A75" s="9" t="str">
        <x:v>multiclass-forest-20261021-stage2</x:v>
      </x:c>
      <x:c r="B75" s="9" t="str">
        <x:v>min_samples_split</x:v>
      </x:c>
      <x:c r="C75" s="9" t="n">
        <x:v>2</x:v>
      </x:c>
      <x:c r="D75" s="9" t="str">
        <x:v>reports/multiclass-forest-20261021-stage2.json</x:v>
      </x:c>
    </x:row>
    <x:row r="76" ht="34" customHeight="1">
      <x:c r="A76" s="9" t="str">
        <x:v>multiclass-forest-20261021-stage2</x:v>
      </x:c>
      <x:c r="B76" s="9" t="str">
        <x:v>min_weight_fraction_leaf</x:v>
      </x:c>
      <x:c r="C76" s="9" t="n">
        <x:v>0</x:v>
      </x:c>
      <x:c r="D76" s="9" t="str">
        <x:v>reports/multiclass-forest-20261021-stage2.json</x:v>
      </x:c>
    </x:row>
    <x:row r="77" ht="34" customHeight="1">
      <x:c r="A77" s="9" t="str">
        <x:v>multiclass-forest-20261021-stage2</x:v>
      </x:c>
      <x:c r="B77" s="9" t="str">
        <x:v>monotonic_cst</x:v>
      </x:c>
      <x:c r="C77" s="9" t="str">
        <x:v>None</x:v>
      </x:c>
      <x:c r="D77" s="9" t="str">
        <x:v>reports/multiclass-forest-20261021-stage2.json</x:v>
      </x:c>
    </x:row>
    <x:row r="78" ht="34" customHeight="1">
      <x:c r="A78" s="9" t="str">
        <x:v>multiclass-forest-20261021-stage2</x:v>
      </x:c>
      <x:c r="B78" s="9" t="str">
        <x:v>n_estimators</x:v>
      </x:c>
      <x:c r="C78" s="9" t="n">
        <x:v>150</x:v>
      </x:c>
      <x:c r="D78" s="9" t="str">
        <x:v>reports/multiclass-forest-20261021-stage2.json</x:v>
      </x:c>
    </x:row>
    <x:row r="79" ht="34" customHeight="1">
      <x:c r="A79" s="9" t="str">
        <x:v>multiclass-forest-20261021-stage2</x:v>
      </x:c>
      <x:c r="B79" s="9" t="str">
        <x:v>n_jobs</x:v>
      </x:c>
      <x:c r="C79" s="9" t="n">
        <x:v>4</x:v>
      </x:c>
      <x:c r="D79" s="9" t="str">
        <x:v>reports/multiclass-forest-20261021-stage2.json</x:v>
      </x:c>
    </x:row>
    <x:row r="80" ht="34" customHeight="1">
      <x:c r="A80" s="9" t="str">
        <x:v>multiclass-forest-20261021-stage2</x:v>
      </x:c>
      <x:c r="B80" s="9" t="str">
        <x:v>oob_score</x:v>
      </x:c>
      <x:c r="C80" s="18" t="b">
        <x:v>0</x:v>
      </x:c>
      <x:c r="D80" s="9" t="str">
        <x:v>reports/multiclass-forest-20261021-stage2.json</x:v>
      </x:c>
    </x:row>
    <x:row r="81" ht="34" customHeight="1">
      <x:c r="A81" s="9" t="str">
        <x:v>multiclass-forest-20261021-stage2</x:v>
      </x:c>
      <x:c r="B81" s="9" t="str">
        <x:v>random_state</x:v>
      </x:c>
      <x:c r="C81" s="9" t="n">
        <x:v>42</x:v>
      </x:c>
      <x:c r="D81" s="9" t="str">
        <x:v>reports/multiclass-forest-20261021-stage2.json</x:v>
      </x:c>
    </x:row>
    <x:row r="82" ht="34" customHeight="1">
      <x:c r="A82" s="9" t="str">
        <x:v>multiclass-forest-20261021-stage2</x:v>
      </x:c>
      <x:c r="B82" s="9" t="str">
        <x:v>verbose</x:v>
      </x:c>
      <x:c r="C82" s="9" t="n">
        <x:v>0</x:v>
      </x:c>
      <x:c r="D82" s="9" t="str">
        <x:v>reports/multiclass-forest-20261021-stage2.json</x:v>
      </x:c>
    </x:row>
    <x:row r="83" ht="34" customHeight="1">
      <x:c r="A83" s="9" t="str">
        <x:v>multiclass-forest-20261021-stage2</x:v>
      </x:c>
      <x:c r="B83" s="9" t="str">
        <x:v>warm_start</x:v>
      </x:c>
      <x:c r="C83" s="18" t="b">
        <x:v>0</x:v>
      </x:c>
      <x:c r="D83" s="9" t="str">
        <x:v>reports/multiclass-forest-20261021-stage2.json</x:v>
      </x:c>
    </x:row>
    <x:row r="84" ht="34" customHeight="1">
      <x:c r="A84" s="9" t="str">
        <x:v>multiclass-forest-20261021-stage2</x:v>
      </x:c>
      <x:c r="B84" s="9" t="str">
        <x:v>split</x:v>
      </x:c>
      <x:c r="C84" s="9" t="str">
        <x:v>stratified 80/20; random_state=42</x:v>
      </x:c>
      <x:c r="D84" s="9" t="str">
        <x:v>reports/multiclass-forest-20261021-stage2.json</x:v>
      </x:c>
    </x:row>
    <x:row r="85" ht="34" customHeight="1">
      <x:c r="A85" s="9" t="str">
        <x:v>multiclass-forest-20261021-stage2</x:v>
      </x:c>
      <x:c r="B85" s="9" t="str">
        <x:v>seed</x:v>
      </x:c>
      <x:c r="C85" s="9" t="n">
        <x:v>42</x:v>
      </x:c>
      <x:c r="D85" s="9" t="str">
        <x:v>reports/multiclass-forest-20261021-stage2.json</x:v>
      </x:c>
    </x:row>
    <x:row r="86" ht="34" customHeight="1">
      <x:c r="A86" s="9" t="str">
        <x:v>multiclass-forest-20261021-stage2</x:v>
      </x:c>
      <x:c r="B86" s="9" t="str">
        <x:v>seconds (собственное время)</x:v>
      </x:c>
      <x:c r="C86" s="9" t="n">
        <x:v>95.6</x:v>
      </x:c>
      <x:c r="D86" s="9" t="str">
        <x:v>reports/multiclass-forest-20261021-stage2.json</x:v>
      </x:c>
    </x:row>
    <x:row r="87" ht="34" customHeight="1">
      <x:c r="A87" s="9" t="str">
        <x:v>multiclass-forest-20261021-stage2</x:v>
      </x:c>
      <x:c r="B87" s="9" t="str">
        <x:v>Примечание времени</x:v>
      </x:c>
      <x:c r="C87" s="9" t="str">
        <x:v>Полный запуск с финальным обучением, если не указано иное</x:v>
      </x:c>
      <x:c r="D87" s="9" t="str">
        <x:v>reports/multiclass-forest-20261021-stage2.json</x:v>
      </x:c>
    </x:row>
    <x:row r="88" ht="34" customHeight="1">
      <x:c r="A88" s="9" t="str">
        <x:v>multiclass-forest-20261021-stage2</x:v>
      </x:c>
      <x:c r="B88" s="9" t="str">
        <x:v>SHA-256 кода</x:v>
      </x:c>
      <x:c r="C88" s="9" t="str">
        <x:v>a96ac9b578a9fc443785401ae099eb1aba02fe9ea8e9cad78732dbccaf572503</x:v>
      </x:c>
      <x:c r="D88" s="9" t="str">
        <x:v>reports/multiclass-forest-20261021-stage2.json</x:v>
      </x:c>
    </x:row>
    <x:row r="89" ht="34" customHeight="1">
      <x:c r="A89" s="9" t="str">
        <x:v>multiclass-forest-20261021-stage2</x:v>
      </x:c>
      <x:c r="B89" s="9" t="str">
        <x:v>SHA-256 train.csv</x:v>
      </x:c>
      <x:c r="C89" s="9" t="str">
        <x:v>171a8915070b7575b729a32f70a45d1ad7b6f43c65b4ce12a0a68af30d5cb4e0</x:v>
      </x:c>
      <x:c r="D89" s="9" t="str">
        <x:v>reports/multiclass-forest-20261021-stage2.json</x:v>
      </x:c>
    </x:row>
    <x:row r="90" ht="34" customHeight="1">
      <x:c r="A90" s="9" t="str">
        <x:v>multiclass-forest-20261021-stage2</x:v>
      </x:c>
      <x:c r="B90" s="9" t="str">
        <x:v>SHA-256 test.csv</x:v>
      </x:c>
      <x:c r="C90" s="9" t="str">
        <x:v>b825449603931b5f05a8855e3d92b57775221c93ed4730ac6b4c75b9ea608862</x:v>
      </x:c>
      <x:c r="D90" s="9" t="str">
        <x:v>reports/multiclass-forest-20261021-stage2.json</x:v>
      </x:c>
    </x:row>
    <x:row r="91" ht="34" customHeight="1">
      <x:c r="A91" s="9" t="str">
        <x:v>multiclass-forest-20261021-stage2</x:v>
      </x:c>
      <x:c r="B91" s="9" t="str">
        <x:v>SHA-256 sample_submission.csv</x:v>
      </x:c>
      <x:c r="C91" s="9" t="str">
        <x:v>4d23642fcff01e49b0ef5a9f018b2381c12fad97282fa586285ad49b01e9623e</x:v>
      </x:c>
      <x:c r="D91" s="9" t="str">
        <x:v>reports/multiclass-forest-20261021-stage2.json</x:v>
      </x:c>
    </x:row>
    <x:row r="92" ht="34" customHeight="1">
      <x:c r="A92" s="9" t="str">
        <x:v>regression-boosting-20261021-stage3</x:v>
      </x:c>
      <x:c r="B92" s="9" t="str">
        <x:v>iterations</x:v>
      </x:c>
      <x:c r="C92" s="9" t="n">
        <x:v>500</x:v>
      </x:c>
      <x:c r="D92" s="9" t="str">
        <x:v>reports/regression-boosting-20261021-stage3.json</x:v>
      </x:c>
    </x:row>
    <x:row r="93" ht="34" customHeight="1">
      <x:c r="A93" s="9" t="str">
        <x:v>regression-boosting-20261021-stage3</x:v>
      </x:c>
      <x:c r="B93" s="9" t="str">
        <x:v>learning_rate</x:v>
      </x:c>
      <x:c r="C93" s="9" t="n">
        <x:v>0.05</x:v>
      </x:c>
      <x:c r="D93" s="9" t="str">
        <x:v>reports/regression-boosting-20261021-stage3.json</x:v>
      </x:c>
    </x:row>
    <x:row r="94" ht="34" customHeight="1">
      <x:c r="A94" s="9" t="str">
        <x:v>regression-boosting-20261021-stage3</x:v>
      </x:c>
      <x:c r="B94" s="9" t="str">
        <x:v>depth</x:v>
      </x:c>
      <x:c r="C94" s="9" t="n">
        <x:v>6</x:v>
      </x:c>
      <x:c r="D94" s="9" t="str">
        <x:v>reports/regression-boosting-20261021-stage3.json</x:v>
      </x:c>
    </x:row>
    <x:row r="95" ht="34" customHeight="1">
      <x:c r="A95" s="9" t="str">
        <x:v>regression-boosting-20261021-stage3</x:v>
      </x:c>
      <x:c r="B95" s="9" t="str">
        <x:v>l2_leaf_reg</x:v>
      </x:c>
      <x:c r="C95" s="9" t="n">
        <x:v>3</x:v>
      </x:c>
      <x:c r="D95" s="9" t="str">
        <x:v>reports/regression-boosting-20261021-stage3.json</x:v>
      </x:c>
    </x:row>
    <x:row r="96" ht="34" customHeight="1">
      <x:c r="A96" s="9" t="str">
        <x:v>regression-boosting-20261021-stage3</x:v>
      </x:c>
      <x:c r="B96" s="9" t="str">
        <x:v>loss_function</x:v>
      </x:c>
      <x:c r="C96" s="9" t="str">
        <x:v>RMSE</x:v>
      </x:c>
      <x:c r="D96" s="9" t="str">
        <x:v>reports/regression-boosting-20261021-stage3.json</x:v>
      </x:c>
    </x:row>
    <x:row r="97" ht="34" customHeight="1">
      <x:c r="A97" s="9" t="str">
        <x:v>regression-boosting-20261021-stage3</x:v>
      </x:c>
      <x:c r="B97" s="9" t="str">
        <x:v>thread_count</x:v>
      </x:c>
      <x:c r="C97" s="9" t="n">
        <x:v>4</x:v>
      </x:c>
      <x:c r="D97" s="9" t="str">
        <x:v>reports/regression-boosting-20261021-stage3.json</x:v>
      </x:c>
    </x:row>
    <x:row r="98" ht="34" customHeight="1">
      <x:c r="A98" s="9" t="str">
        <x:v>regression-boosting-20261021-stage3</x:v>
      </x:c>
      <x:c r="B98" s="9" t="str">
        <x:v>random_seed</x:v>
      </x:c>
      <x:c r="C98" s="9" t="n">
        <x:v>42</x:v>
      </x:c>
      <x:c r="D98" s="9" t="str">
        <x:v>reports/regression-boosting-20261021-stage3.json</x:v>
      </x:c>
    </x:row>
    <x:row r="99" ht="34" customHeight="1">
      <x:c r="A99" s="9" t="str">
        <x:v>regression-boosting-20261021-stage3</x:v>
      </x:c>
      <x:c r="B99" s="9" t="str">
        <x:v>verbose</x:v>
      </x:c>
      <x:c r="C99" s="9" t="n">
        <x:v>100</x:v>
      </x:c>
      <x:c r="D99" s="9" t="str">
        <x:v>reports/regression-boosting-20261021-stage3.json</x:v>
      </x:c>
    </x:row>
    <x:row r="100" ht="34" customHeight="1">
      <x:c r="A100" s="9" t="str">
        <x:v>regression-boosting-20261021-stage3</x:v>
      </x:c>
      <x:c r="B100" s="9" t="str">
        <x:v>allow_writing_files</x:v>
      </x:c>
      <x:c r="C100" s="18" t="b">
        <x:v>0</x:v>
      </x:c>
      <x:c r="D100" s="9" t="str">
        <x:v>reports/regression-boosting-20261021-stage3.json</x:v>
      </x:c>
    </x:row>
    <x:row r="101" ht="34" customHeight="1">
      <x:c r="A101" s="9" t="str">
        <x:v>regression-boosting-20261021-stage3</x:v>
      </x:c>
      <x:c r="B101" s="9" t="str">
        <x:v>split</x:v>
      </x:c>
      <x:c r="C101" s="9" t="str">
        <x:v>Year_Factor &lt; 5 train; == 5 validation</x:v>
      </x:c>
      <x:c r="D101" s="9" t="str">
        <x:v>reports/regression-boosting-20261021-stage3.json</x:v>
      </x:c>
    </x:row>
    <x:row r="102" ht="34" customHeight="1">
      <x:c r="A102" s="9" t="str">
        <x:v>regression-boosting-20261021-stage3</x:v>
      </x:c>
      <x:c r="B102" s="9" t="str">
        <x:v>seed</x:v>
      </x:c>
      <x:c r="C102" s="9" t="n">
        <x:v>42</x:v>
      </x:c>
      <x:c r="D102" s="9" t="str">
        <x:v>reports/regression-boosting-20261021-stage3.json</x:v>
      </x:c>
    </x:row>
    <x:row r="103" ht="34" customHeight="1">
      <x:c r="A103" s="9" t="str">
        <x:v>regression-boosting-20261021-stage3</x:v>
      </x:c>
      <x:c r="B103" s="9" t="str">
        <x:v>seconds (собственное время)</x:v>
      </x:c>
      <x:c r="C103" s="9" t="n">
        <x:v>8.49</x:v>
      </x:c>
      <x:c r="D103" s="9" t="str">
        <x:v>reports/regression-boosting-20261021-stage3.json</x:v>
      </x:c>
    </x:row>
    <x:row r="104" ht="34" customHeight="1">
      <x:c r="A104" s="9" t="str">
        <x:v>regression-boosting-20261021-stage3</x:v>
      </x:c>
      <x:c r="B104" s="9" t="str">
        <x:v>Примечание времени</x:v>
      </x:c>
      <x:c r="C104" s="9" t="str">
        <x:v>Полный запуск с финальным обучением, если не указано иное</x:v>
      </x:c>
      <x:c r="D104" s="9" t="str">
        <x:v>reports/regression-boosting-20261021-stage3.json</x:v>
      </x:c>
    </x:row>
    <x:row r="105" ht="34" customHeight="1">
      <x:c r="A105" s="9" t="str">
        <x:v>regression-boosting-20261021-stage3</x:v>
      </x:c>
      <x:c r="B105" s="9" t="str">
        <x:v>SHA-256 кода</x:v>
      </x:c>
      <x:c r="C105" s="9" t="str">
        <x:v>628f5958589379c5869a739f10c863e26328ee48829c02fe9d6911675f57efa1</x:v>
      </x:c>
      <x:c r="D105" s="9" t="str">
        <x:v>reports/regression-boosting-20261021-stage3.json</x:v>
      </x:c>
    </x:row>
    <x:row r="106" ht="34" customHeight="1">
      <x:c r="A106" s="9" t="str">
        <x:v>regression-boosting-20261021-stage3</x:v>
      </x:c>
      <x:c r="B106" s="9" t="str">
        <x:v>SHA-256 train.csv</x:v>
      </x:c>
      <x:c r="C106" s="9" t="str">
        <x:v>096dac951cf44fade5417ddd0465c41beee3009663dbea34e8d464a4d3c7f775</x:v>
      </x:c>
      <x:c r="D106" s="9" t="str">
        <x:v>reports/regression-boosting-20261021-stage3.json</x:v>
      </x:c>
    </x:row>
    <x:row r="107" ht="34" customHeight="1">
      <x:c r="A107" s="9" t="str">
        <x:v>regression-boosting-20261021-stage3</x:v>
      </x:c>
      <x:c r="B107" s="9" t="str">
        <x:v>SHA-256 test.csv</x:v>
      </x:c>
      <x:c r="C107" s="9" t="str">
        <x:v>a7c64db92a07e1a5b1e7f637bdd434da7a5e98a1676c854ec6a645c9e5827095</x:v>
      </x:c>
      <x:c r="D107" s="9" t="str">
        <x:v>reports/regression-boosting-20261021-stage3.json</x:v>
      </x:c>
    </x:row>
    <x:row r="108" ht="34" customHeight="1">
      <x:c r="A108" s="9" t="str">
        <x:v>regression-boosting-20261021-stage3</x:v>
      </x:c>
      <x:c r="B108" s="9" t="str">
        <x:v>SHA-256 sample_submission.csv</x:v>
      </x:c>
      <x:c r="C108" s="9" t="str">
        <x:v>0016b18d58c47bbbe842556b4957ba215b3ad50121c9923260537d936a09eae1</x:v>
      </x:c>
      <x:c r="D108" s="9" t="str">
        <x:v>reports/regression-boosting-20261021-stage3.json</x:v>
      </x:c>
    </x:row>
    <x:row r="109" ht="34" customHeight="1">
      <x:c r="A109" s="9" t="str">
        <x:v>multiclass-boosting-20261021-stage3</x:v>
      </x:c>
      <x:c r="B109" s="9" t="str">
        <x:v>iterations</x:v>
      </x:c>
      <x:c r="C109" s="9" t="n">
        <x:v>500</x:v>
      </x:c>
      <x:c r="D109" s="9" t="str">
        <x:v>reports/multiclass-boosting-20261021-stage3.json</x:v>
      </x:c>
    </x:row>
    <x:row r="110" ht="34" customHeight="1">
      <x:c r="A110" s="9" t="str">
        <x:v>multiclass-boosting-20261021-stage3</x:v>
      </x:c>
      <x:c r="B110" s="9" t="str">
        <x:v>learning_rate</x:v>
      </x:c>
      <x:c r="C110" s="9" t="n">
        <x:v>0.05</x:v>
      </x:c>
      <x:c r="D110" s="9" t="str">
        <x:v>reports/multiclass-boosting-20261021-stage3.json</x:v>
      </x:c>
    </x:row>
    <x:row r="111" ht="34" customHeight="1">
      <x:c r="A111" s="9" t="str">
        <x:v>multiclass-boosting-20261021-stage3</x:v>
      </x:c>
      <x:c r="B111" s="9" t="str">
        <x:v>depth</x:v>
      </x:c>
      <x:c r="C111" s="9" t="n">
        <x:v>6</x:v>
      </x:c>
      <x:c r="D111" s="9" t="str">
        <x:v>reports/multiclass-boosting-20261021-stage3.json</x:v>
      </x:c>
    </x:row>
    <x:row r="112" ht="34" customHeight="1">
      <x:c r="A112" s="9" t="str">
        <x:v>multiclass-boosting-20261021-stage3</x:v>
      </x:c>
      <x:c r="B112" s="9" t="str">
        <x:v>l2_leaf_reg</x:v>
      </x:c>
      <x:c r="C112" s="9" t="n">
        <x:v>3</x:v>
      </x:c>
      <x:c r="D112" s="9" t="str">
        <x:v>reports/multiclass-boosting-20261021-stage3.json</x:v>
      </x:c>
    </x:row>
    <x:row r="113" ht="34" customHeight="1">
      <x:c r="A113" s="9" t="str">
        <x:v>multiclass-boosting-20261021-stage3</x:v>
      </x:c>
      <x:c r="B113" s="9" t="str">
        <x:v>loss_function</x:v>
      </x:c>
      <x:c r="C113" s="9" t="str">
        <x:v>MultiClass</x:v>
      </x:c>
      <x:c r="D113" s="9" t="str">
        <x:v>reports/multiclass-boosting-20261021-stage3.json</x:v>
      </x:c>
    </x:row>
    <x:row r="114" ht="34" customHeight="1">
      <x:c r="A114" s="9" t="str">
        <x:v>multiclass-boosting-20261021-stage3</x:v>
      </x:c>
      <x:c r="B114" s="9" t="str">
        <x:v>thread_count</x:v>
      </x:c>
      <x:c r="C114" s="9" t="n">
        <x:v>4</x:v>
      </x:c>
      <x:c r="D114" s="9" t="str">
        <x:v>reports/multiclass-boosting-20261021-stage3.json</x:v>
      </x:c>
    </x:row>
    <x:row r="115" ht="34" customHeight="1">
      <x:c r="A115" s="9" t="str">
        <x:v>multiclass-boosting-20261021-stage3</x:v>
      </x:c>
      <x:c r="B115" s="9" t="str">
        <x:v>random_seed</x:v>
      </x:c>
      <x:c r="C115" s="9" t="n">
        <x:v>42</x:v>
      </x:c>
      <x:c r="D115" s="9" t="str">
        <x:v>reports/multiclass-boosting-20261021-stage3.json</x:v>
      </x:c>
    </x:row>
    <x:row r="116" ht="34" customHeight="1">
      <x:c r="A116" s="9" t="str">
        <x:v>multiclass-boosting-20261021-stage3</x:v>
      </x:c>
      <x:c r="B116" s="9" t="str">
        <x:v>verbose</x:v>
      </x:c>
      <x:c r="C116" s="9" t="n">
        <x:v>100</x:v>
      </x:c>
      <x:c r="D116" s="9" t="str">
        <x:v>reports/multiclass-boosting-20261021-stage3.json</x:v>
      </x:c>
    </x:row>
    <x:row r="117" ht="34" customHeight="1">
      <x:c r="A117" s="9" t="str">
        <x:v>multiclass-boosting-20261021-stage3</x:v>
      </x:c>
      <x:c r="B117" s="9" t="str">
        <x:v>allow_writing_files</x:v>
      </x:c>
      <x:c r="C117" s="18" t="b">
        <x:v>0</x:v>
      </x:c>
      <x:c r="D117" s="9" t="str">
        <x:v>reports/multiclass-boosting-20261021-stage3.json</x:v>
      </x:c>
    </x:row>
    <x:row r="118" ht="34" customHeight="1">
      <x:c r="A118" s="9" t="str">
        <x:v>multiclass-boosting-20261021-stage3</x:v>
      </x:c>
      <x:c r="B118" s="9" t="str">
        <x:v>split</x:v>
      </x:c>
      <x:c r="C118" s="9" t="str">
        <x:v>stratified 80/20; random_state=42</x:v>
      </x:c>
      <x:c r="D118" s="9" t="str">
        <x:v>reports/multiclass-boosting-20261021-stage3.json</x:v>
      </x:c>
    </x:row>
    <x:row r="119" ht="34" customHeight="1">
      <x:c r="A119" s="9" t="str">
        <x:v>multiclass-boosting-20261021-stage3</x:v>
      </x:c>
      <x:c r="B119" s="9" t="str">
        <x:v>seed</x:v>
      </x:c>
      <x:c r="C119" s="9" t="n">
        <x:v>42</x:v>
      </x:c>
      <x:c r="D119" s="9" t="str">
        <x:v>reports/multiclass-boosting-20261021-stage3.json</x:v>
      </x:c>
    </x:row>
    <x:row r="120" ht="34" customHeight="1">
      <x:c r="A120" s="9" t="str">
        <x:v>multiclass-boosting-20261021-stage3</x:v>
      </x:c>
      <x:c r="B120" s="9" t="str">
        <x:v>seconds (собственное время)</x:v>
      </x:c>
      <x:c r="C120" s="9" t="n">
        <x:v>87.81</x:v>
      </x:c>
      <x:c r="D120" s="9" t="str">
        <x:v>reports/multiclass-boosting-20261021-stage3.json</x:v>
      </x:c>
    </x:row>
    <x:row r="121" ht="34" customHeight="1">
      <x:c r="A121" s="9" t="str">
        <x:v>multiclass-boosting-20261021-stage3</x:v>
      </x:c>
      <x:c r="B121" s="9" t="str">
        <x:v>Примечание времени</x:v>
      </x:c>
      <x:c r="C121" s="9" t="str">
        <x:v>Полный запуск с финальным обучением, если не указано иное</x:v>
      </x:c>
      <x:c r="D121" s="9" t="str">
        <x:v>reports/multiclass-boosting-20261021-stage3.json</x:v>
      </x:c>
    </x:row>
    <x:row r="122" ht="34" customHeight="1">
      <x:c r="A122" s="9" t="str">
        <x:v>multiclass-boosting-20261021-stage3</x:v>
      </x:c>
      <x:c r="B122" s="9" t="str">
        <x:v>SHA-256 кода</x:v>
      </x:c>
      <x:c r="C122" s="9" t="str">
        <x:v>628f5958589379c5869a739f10c863e26328ee48829c02fe9d6911675f57efa1</x:v>
      </x:c>
      <x:c r="D122" s="9" t="str">
        <x:v>reports/multiclass-boosting-20261021-stage3.json</x:v>
      </x:c>
    </x:row>
    <x:row r="123" ht="34" customHeight="1">
      <x:c r="A123" s="9" t="str">
        <x:v>multiclass-boosting-20261021-stage3</x:v>
      </x:c>
      <x:c r="B123" s="9" t="str">
        <x:v>SHA-256 train.csv</x:v>
      </x:c>
      <x:c r="C123" s="9" t="str">
        <x:v>171a8915070b7575b729a32f70a45d1ad7b6f43c65b4ce12a0a68af30d5cb4e0</x:v>
      </x:c>
      <x:c r="D123" s="9" t="str">
        <x:v>reports/multiclass-boosting-20261021-stage3.json</x:v>
      </x:c>
    </x:row>
    <x:row r="124" ht="34" customHeight="1">
      <x:c r="A124" s="9" t="str">
        <x:v>multiclass-boosting-20261021-stage3</x:v>
      </x:c>
      <x:c r="B124" s="9" t="str">
        <x:v>SHA-256 test.csv</x:v>
      </x:c>
      <x:c r="C124" s="9" t="str">
        <x:v>b825449603931b5f05a8855e3d92b57775221c93ed4730ac6b4c75b9ea608862</x:v>
      </x:c>
      <x:c r="D124" s="9" t="str">
        <x:v>reports/multiclass-boosting-20261021-stage3.json</x:v>
      </x:c>
    </x:row>
    <x:row r="125" ht="34" customHeight="1">
      <x:c r="A125" s="9" t="str">
        <x:v>multiclass-boosting-20261021-stage3</x:v>
      </x:c>
      <x:c r="B125" s="9" t="str">
        <x:v>SHA-256 sample_submission.csv</x:v>
      </x:c>
      <x:c r="C125" s="9" t="str">
        <x:v>4d23642fcff01e49b0ef5a9f018b2381c12fad97282fa586285ad49b01e9623e</x:v>
      </x:c>
      <x:c r="D125" s="9" t="str">
        <x:v>reports/multiclass-boosting-20261021-stage3.json</x:v>
      </x:c>
    </x:row>
    <x:row r="126" ht="34" customHeight="1">
      <x:c r="A126" s="9" t="str">
        <x:v>regression-optuna-20261021-stage4-candidate</x:v>
      </x:c>
      <x:c r="B126" s="9" t="str">
        <x:v>iterations</x:v>
      </x:c>
      <x:c r="C126" s="9" t="n">
        <x:v>700</x:v>
      </x:c>
      <x:c r="D126" s="9" t="str">
        <x:v>reports/regression-optuna-20261021-stage4.json</x:v>
      </x:c>
    </x:row>
    <x:row r="127" ht="34" customHeight="1">
      <x:c r="A127" s="9" t="str">
        <x:v>regression-optuna-20261021-stage4-candidate</x:v>
      </x:c>
      <x:c r="B127" s="9" t="str">
        <x:v>depth</x:v>
      </x:c>
      <x:c r="C127" s="9" t="n">
        <x:v>8</x:v>
      </x:c>
      <x:c r="D127" s="9" t="str">
        <x:v>reports/regression-optuna-20261021-stage4.json</x:v>
      </x:c>
    </x:row>
    <x:row r="128" ht="34" customHeight="1">
      <x:c r="A128" s="9" t="str">
        <x:v>regression-optuna-20261021-stage4-candidate</x:v>
      </x:c>
      <x:c r="B128" s="9" t="str">
        <x:v>learning_rate</x:v>
      </x:c>
      <x:c r="C128" s="9" t="n">
        <x:v>0.10390991237859405</x:v>
      </x:c>
      <x:c r="D128" s="9" t="str">
        <x:v>reports/regression-optuna-20261021-stage4.json</x:v>
      </x:c>
    </x:row>
    <x:row r="129" ht="34" customHeight="1">
      <x:c r="A129" s="9" t="str">
        <x:v>regression-optuna-20261021-stage4-candidate</x:v>
      </x:c>
      <x:c r="B129" s="9" t="str">
        <x:v>l2_leaf_reg</x:v>
      </x:c>
      <x:c r="C129" s="9" t="n">
        <x:v>3.7888252014533643</x:v>
      </x:c>
      <x:c r="D129" s="9" t="str">
        <x:v>reports/regression-optuna-20261021-stage4.json</x:v>
      </x:c>
    </x:row>
    <x:row r="130" ht="34" customHeight="1">
      <x:c r="A130" s="9" t="str">
        <x:v>regression-optuna-20261021-stage4-candidate</x:v>
      </x:c>
      <x:c r="B130" s="9" t="str">
        <x:v>split</x:v>
      </x:c>
      <x:c r="C130" s="9" t="str">
        <x:v>Year_Factor &lt; 5 train; == 5 validation</x:v>
      </x:c>
      <x:c r="D130" s="9" t="str">
        <x:v>reports/regression-optuna-20261021-stage4.json</x:v>
      </x:c>
    </x:row>
    <x:row r="131" ht="34" customHeight="1">
      <x:c r="A131" s="9" t="str">
        <x:v>regression-optuna-20261021-stage4-candidate</x:v>
      </x:c>
      <x:c r="B131" s="9" t="str">
        <x:v>seed</x:v>
      </x:c>
      <x:c r="C131" s="9" t="n">
        <x:v>42</x:v>
      </x:c>
      <x:c r="D131" s="9" t="str">
        <x:v>reports/regression-optuna-20261021-stage4.json</x:v>
      </x:c>
    </x:row>
    <x:row r="132" ht="34" customHeight="1">
      <x:c r="A132" s="9" t="str">
        <x:v>regression-optuna-20261021-stage4-candidate</x:v>
      </x:c>
      <x:c r="B132" s="9" t="str">
        <x:v>seconds (собственное время)</x:v>
      </x:c>
      <x:c r="C132" s="9"/>
      <x:c r="D132" s="9" t="str">
        <x:v>reports/regression-optuna-20261021-stage4.json</x:v>
      </x:c>
    </x:row>
    <x:row r="133" ht="34" customHeight="1">
      <x:c r="A133" s="9" t="str">
        <x:v>regression-optuna-20261021-stage4-candidate</x:v>
      </x:c>
      <x:c r="B133" s="9" t="str">
        <x:v>Примечание времени</x:v>
      </x:c>
      <x:c r="C133" s="9" t="str">
        <x:v>Оценка входит в родительский запуск; отдельное время не записано</x:v>
      </x:c>
      <x:c r="D133" s="9" t="str">
        <x:v>reports/regression-optuna-20261021-stage4.json</x:v>
      </x:c>
    </x:row>
    <x:row r="134" ht="34" customHeight="1">
      <x:c r="A134" s="9" t="str">
        <x:v>regression-optuna-20261021-stage4-candidate</x:v>
      </x:c>
      <x:c r="B134" s="9" t="str">
        <x:v>SHA-256 кода</x:v>
      </x:c>
      <x:c r="C134" s="9" t="str">
        <x:v>8209044b823a48546ad16d735708144c197110d9f420467d954e83834707e818</x:v>
      </x:c>
      <x:c r="D134" s="9" t="str">
        <x:v>reports/regression-optuna-20261021-stage4.json</x:v>
      </x:c>
    </x:row>
    <x:row r="135" ht="34" customHeight="1">
      <x:c r="A135" s="9" t="str">
        <x:v>regression-optuna-20261021-stage4-candidate</x:v>
      </x:c>
      <x:c r="B135" s="9" t="str">
        <x:v>SHA-256 train.csv</x:v>
      </x:c>
      <x:c r="C135" s="9" t="str">
        <x:v>096dac951cf44fade5417ddd0465c41beee3009663dbea34e8d464a4d3c7f775</x:v>
      </x:c>
      <x:c r="D135" s="9" t="str">
        <x:v>reports/regression-optuna-20261021-stage4.json</x:v>
      </x:c>
    </x:row>
    <x:row r="136" ht="34" customHeight="1">
      <x:c r="A136" s="9" t="str">
        <x:v>regression-optuna-20261021-stage4-candidate</x:v>
      </x:c>
      <x:c r="B136" s="9" t="str">
        <x:v>SHA-256 test.csv</x:v>
      </x:c>
      <x:c r="C136" s="9" t="str">
        <x:v>a7c64db92a07e1a5b1e7f637bdd434da7a5e98a1676c854ec6a645c9e5827095</x:v>
      </x:c>
      <x:c r="D136" s="9" t="str">
        <x:v>reports/regression-optuna-20261021-stage4.json</x:v>
      </x:c>
    </x:row>
    <x:row r="137" ht="34" customHeight="1">
      <x:c r="A137" s="9" t="str">
        <x:v>regression-optuna-20261021-stage4-candidate</x:v>
      </x:c>
      <x:c r="B137" s="9" t="str">
        <x:v>SHA-256 sample_submission.csv</x:v>
      </x:c>
      <x:c r="C137" s="9" t="str">
        <x:v>0016b18d58c47bbbe842556b4957ba215b3ad50121c9923260537d936a09eae1</x:v>
      </x:c>
      <x:c r="D137" s="9" t="str">
        <x:v>reports/regression-optuna-20261021-stage4.json</x:v>
      </x:c>
    </x:row>
    <x:row r="138" ht="34" customHeight="1">
      <x:c r="A138" s="9" t="str">
        <x:v>regression-optuna-20261021-stage4</x:v>
      </x:c>
      <x:c r="B138" s="9" t="str">
        <x:v>iterations</x:v>
      </x:c>
      <x:c r="C138" s="9" t="n">
        <x:v>500</x:v>
      </x:c>
      <x:c r="D138" s="9" t="str">
        <x:v>reports/regression-optuna-20261021-stage4.json</x:v>
      </x:c>
    </x:row>
    <x:row r="139" ht="34" customHeight="1">
      <x:c r="A139" s="9" t="str">
        <x:v>regression-optuna-20261021-stage4</x:v>
      </x:c>
      <x:c r="B139" s="9" t="str">
        <x:v>learning_rate</x:v>
      </x:c>
      <x:c r="C139" s="9" t="n">
        <x:v>0.05</x:v>
      </x:c>
      <x:c r="D139" s="9" t="str">
        <x:v>reports/regression-optuna-20261021-stage4.json</x:v>
      </x:c>
    </x:row>
    <x:row r="140" ht="34" customHeight="1">
      <x:c r="A140" s="9" t="str">
        <x:v>regression-optuna-20261021-stage4</x:v>
      </x:c>
      <x:c r="B140" s="9" t="str">
        <x:v>depth</x:v>
      </x:c>
      <x:c r="C140" s="9" t="n">
        <x:v>6</x:v>
      </x:c>
      <x:c r="D140" s="9" t="str">
        <x:v>reports/regression-optuna-20261021-stage4.json</x:v>
      </x:c>
    </x:row>
    <x:row r="141" ht="34" customHeight="1">
      <x:c r="A141" s="9" t="str">
        <x:v>regression-optuna-20261021-stage4</x:v>
      </x:c>
      <x:c r="B141" s="9" t="str">
        <x:v>l2_leaf_reg</x:v>
      </x:c>
      <x:c r="C141" s="9" t="n">
        <x:v>3</x:v>
      </x:c>
      <x:c r="D141" s="9" t="str">
        <x:v>reports/regression-optuna-20261021-stage4.json</x:v>
      </x:c>
    </x:row>
    <x:row r="142" ht="34" customHeight="1">
      <x:c r="A142" s="9" t="str">
        <x:v>regression-optuna-20261021-stage4</x:v>
      </x:c>
      <x:c r="B142" s="9" t="str">
        <x:v>loss_function</x:v>
      </x:c>
      <x:c r="C142" s="9" t="str">
        <x:v>RMSE</x:v>
      </x:c>
      <x:c r="D142" s="9" t="str">
        <x:v>reports/regression-optuna-20261021-stage4.json</x:v>
      </x:c>
    </x:row>
    <x:row r="143" ht="34" customHeight="1">
      <x:c r="A143" s="9" t="str">
        <x:v>regression-optuna-20261021-stage4</x:v>
      </x:c>
      <x:c r="B143" s="9" t="str">
        <x:v>thread_count</x:v>
      </x:c>
      <x:c r="C143" s="9" t="n">
        <x:v>4</x:v>
      </x:c>
      <x:c r="D143" s="9" t="str">
        <x:v>reports/regression-optuna-20261021-stage4.json</x:v>
      </x:c>
    </x:row>
    <x:row r="144" ht="34" customHeight="1">
      <x:c r="A144" s="9" t="str">
        <x:v>regression-optuna-20261021-stage4</x:v>
      </x:c>
      <x:c r="B144" s="9" t="str">
        <x:v>random_seed</x:v>
      </x:c>
      <x:c r="C144" s="9" t="n">
        <x:v>42</x:v>
      </x:c>
      <x:c r="D144" s="9" t="str">
        <x:v>reports/regression-optuna-20261021-stage4.json</x:v>
      </x:c>
    </x:row>
    <x:row r="145" ht="34" customHeight="1">
      <x:c r="A145" s="9" t="str">
        <x:v>regression-optuna-20261021-stage4</x:v>
      </x:c>
      <x:c r="B145" s="9" t="str">
        <x:v>verbose</x:v>
      </x:c>
      <x:c r="C145" s="18" t="b">
        <x:v>0</x:v>
      </x:c>
      <x:c r="D145" s="9" t="str">
        <x:v>reports/regression-optuna-20261021-stage4.json</x:v>
      </x:c>
    </x:row>
    <x:row r="146" ht="34" customHeight="1">
      <x:c r="A146" s="9" t="str">
        <x:v>regression-optuna-20261021-stage4</x:v>
      </x:c>
      <x:c r="B146" s="9" t="str">
        <x:v>allow_writing_files</x:v>
      </x:c>
      <x:c r="C146" s="18" t="b">
        <x:v>0</x:v>
      </x:c>
      <x:c r="D146" s="9" t="str">
        <x:v>reports/regression-optuna-20261021-stage4.json</x:v>
      </x:c>
    </x:row>
    <x:row r="147" ht="34" customHeight="1">
      <x:c r="A147" s="9" t="str">
        <x:v>regression-optuna-20261021-stage4</x:v>
      </x:c>
      <x:c r="B147" s="9" t="str">
        <x:v>split</x:v>
      </x:c>
      <x:c r="C147" s="9" t="str">
        <x:v>Year_Factor &lt; 5 train; == 5 validation</x:v>
      </x:c>
      <x:c r="D147" s="9" t="str">
        <x:v>reports/regression-optuna-20261021-stage4.json</x:v>
      </x:c>
    </x:row>
    <x:row r="148" ht="34" customHeight="1">
      <x:c r="A148" s="9" t="str">
        <x:v>regression-optuna-20261021-stage4</x:v>
      </x:c>
      <x:c r="B148" s="9" t="str">
        <x:v>seed</x:v>
      </x:c>
      <x:c r="C148" s="9" t="n">
        <x:v>42</x:v>
      </x:c>
      <x:c r="D148" s="9" t="str">
        <x:v>reports/regression-optuna-20261021-stage4.json</x:v>
      </x:c>
    </x:row>
    <x:row r="149" ht="34" customHeight="1">
      <x:c r="A149" s="9" t="str">
        <x:v>regression-optuna-20261021-stage4</x:v>
      </x:c>
      <x:c r="B149" s="9" t="str">
        <x:v>seconds (собственное время)</x:v>
      </x:c>
      <x:c r="C149" s="9" t="n">
        <x:v>44.53</x:v>
      </x:c>
      <x:c r="D149" s="9" t="str">
        <x:v>reports/regression-optuna-20261021-stage4.json</x:v>
      </x:c>
    </x:row>
    <x:row r="150" ht="34" customHeight="1">
      <x:c r="A150" s="9" t="str">
        <x:v>regression-optuna-20261021-stage4</x:v>
      </x:c>
      <x:c r="B150" s="9" t="str">
        <x:v>Примечание времени</x:v>
      </x:c>
      <x:c r="C150" s="9" t="str">
        <x:v>Полный запуск с финальным обучением, если не указано иное</x:v>
      </x:c>
      <x:c r="D150" s="9" t="str">
        <x:v>reports/regression-optuna-20261021-stage4.json</x:v>
      </x:c>
    </x:row>
    <x:row r="151" ht="34" customHeight="1">
      <x:c r="A151" s="9" t="str">
        <x:v>regression-optuna-20261021-stage4</x:v>
      </x:c>
      <x:c r="B151" s="9" t="str">
        <x:v>SHA-256 кода</x:v>
      </x:c>
      <x:c r="C151" s="9" t="str">
        <x:v>8209044b823a48546ad16d735708144c197110d9f420467d954e83834707e818</x:v>
      </x:c>
      <x:c r="D151" s="9" t="str">
        <x:v>reports/regression-optuna-20261021-stage4.json</x:v>
      </x:c>
    </x:row>
    <x:row r="152" ht="34" customHeight="1">
      <x:c r="A152" s="9" t="str">
        <x:v>regression-optuna-20261021-stage4</x:v>
      </x:c>
      <x:c r="B152" s="9" t="str">
        <x:v>SHA-256 train.csv</x:v>
      </x:c>
      <x:c r="C152" s="9" t="str">
        <x:v>096dac951cf44fade5417ddd0465c41beee3009663dbea34e8d464a4d3c7f775</x:v>
      </x:c>
      <x:c r="D152" s="9" t="str">
        <x:v>reports/regression-optuna-20261021-stage4.json</x:v>
      </x:c>
    </x:row>
    <x:row r="153" ht="34" customHeight="1">
      <x:c r="A153" s="9" t="str">
        <x:v>regression-optuna-20261021-stage4</x:v>
      </x:c>
      <x:c r="B153" s="9" t="str">
        <x:v>SHA-256 test.csv</x:v>
      </x:c>
      <x:c r="C153" s="9" t="str">
        <x:v>a7c64db92a07e1a5b1e7f637bdd434da7a5e98a1676c854ec6a645c9e5827095</x:v>
      </x:c>
      <x:c r="D153" s="9" t="str">
        <x:v>reports/regression-optuna-20261021-stage4.json</x:v>
      </x:c>
    </x:row>
    <x:row r="154" ht="34" customHeight="1">
      <x:c r="A154" s="9" t="str">
        <x:v>regression-optuna-20261021-stage4</x:v>
      </x:c>
      <x:c r="B154" s="9" t="str">
        <x:v>SHA-256 sample_submission.csv</x:v>
      </x:c>
      <x:c r="C154" s="9" t="str">
        <x:v>0016b18d58c47bbbe842556b4957ba215b3ad50121c9923260537d936a09eae1</x:v>
      </x:c>
      <x:c r="D154" s="9" t="str">
        <x:v>reports/regression-optuna-20261021-stage4.json</x:v>
      </x:c>
    </x:row>
    <x:row r="155" ht="34" customHeight="1">
      <x:c r="A155" s="9" t="str">
        <x:v>multiclass-optuna-20261021-stage4-candidate</x:v>
      </x:c>
      <x:c r="B155" s="9" t="str">
        <x:v>n_estimators</x:v>
      </x:c>
      <x:c r="C155" s="9" t="n">
        <x:v>100</x:v>
      </x:c>
      <x:c r="D155" s="9" t="str">
        <x:v>reports/multiclass-optuna-20261021-stage4.json</x:v>
      </x:c>
    </x:row>
    <x:row r="156" ht="34" customHeight="1">
      <x:c r="A156" s="9" t="str">
        <x:v>multiclass-optuna-20261021-stage4-candidate</x:v>
      </x:c>
      <x:c r="B156" s="9" t="str">
        <x:v>max_depth</x:v>
      </x:c>
      <x:c r="C156" s="9" t="n">
        <x:v>28</x:v>
      </x:c>
      <x:c r="D156" s="9" t="str">
        <x:v>reports/multiclass-optuna-20261021-stage4.json</x:v>
      </x:c>
    </x:row>
    <x:row r="157" ht="34" customHeight="1">
      <x:c r="A157" s="9" t="str">
        <x:v>multiclass-optuna-20261021-stage4-candidate</x:v>
      </x:c>
      <x:c r="B157" s="9" t="str">
        <x:v>min_samples_leaf</x:v>
      </x:c>
      <x:c r="C157" s="9" t="n">
        <x:v>4</x:v>
      </x:c>
      <x:c r="D157" s="9" t="str">
        <x:v>reports/multiclass-optuna-20261021-stage4.json</x:v>
      </x:c>
    </x:row>
    <x:row r="158" ht="34" customHeight="1">
      <x:c r="A158" s="9" t="str">
        <x:v>multiclass-optuna-20261021-stage4-candidate</x:v>
      </x:c>
      <x:c r="B158" s="9" t="str">
        <x:v>max_features</x:v>
      </x:c>
      <x:c r="C158" s="9" t="n">
        <x:v>0.8</x:v>
      </x:c>
      <x:c r="D158" s="9" t="str">
        <x:v>reports/multiclass-optuna-20261021-stage4.json</x:v>
      </x:c>
    </x:row>
    <x:row r="159" ht="34" customHeight="1">
      <x:c r="A159" s="9" t="str">
        <x:v>multiclass-optuna-20261021-stage4-candidate</x:v>
      </x:c>
      <x:c r="B159" s="9" t="str">
        <x:v>split</x:v>
      </x:c>
      <x:c r="C159" s="9" t="str">
        <x:v>stratified 80/20; random_state=42</x:v>
      </x:c>
      <x:c r="D159" s="9" t="str">
        <x:v>reports/multiclass-optuna-20261021-stage4.json</x:v>
      </x:c>
    </x:row>
    <x:row r="160" ht="34" customHeight="1">
      <x:c r="A160" s="9" t="str">
        <x:v>multiclass-optuna-20261021-stage4-candidate</x:v>
      </x:c>
      <x:c r="B160" s="9" t="str">
        <x:v>seed</x:v>
      </x:c>
      <x:c r="C160" s="9" t="n">
        <x:v>42</x:v>
      </x:c>
      <x:c r="D160" s="9" t="str">
        <x:v>reports/multiclass-optuna-20261021-stage4.json</x:v>
      </x:c>
    </x:row>
    <x:row r="161" ht="34" customHeight="1">
      <x:c r="A161" s="9" t="str">
        <x:v>multiclass-optuna-20261021-stage4-candidate</x:v>
      </x:c>
      <x:c r="B161" s="9" t="str">
        <x:v>seconds (собственное время)</x:v>
      </x:c>
      <x:c r="C161" s="9"/>
      <x:c r="D161" s="9" t="str">
        <x:v>reports/multiclass-optuna-20261021-stage4.json</x:v>
      </x:c>
    </x:row>
    <x:row r="162" ht="34" customHeight="1">
      <x:c r="A162" s="9" t="str">
        <x:v>multiclass-optuna-20261021-stage4-candidate</x:v>
      </x:c>
      <x:c r="B162" s="9" t="str">
        <x:v>Примечание времени</x:v>
      </x:c>
      <x:c r="C162" s="9" t="str">
        <x:v>Оценка входит в родительский запуск; отдельное время не записано</x:v>
      </x:c>
      <x:c r="D162" s="9" t="str">
        <x:v>reports/multiclass-optuna-20261021-stage4.json</x:v>
      </x:c>
    </x:row>
    <x:row r="163" ht="34" customHeight="1">
      <x:c r="A163" s="9" t="str">
        <x:v>multiclass-optuna-20261021-stage4-candidate</x:v>
      </x:c>
      <x:c r="B163" s="9" t="str">
        <x:v>SHA-256 кода</x:v>
      </x:c>
      <x:c r="C163" s="9" t="str">
        <x:v>8209044b823a48546ad16d735708144c197110d9f420467d954e83834707e818</x:v>
      </x:c>
      <x:c r="D163" s="9" t="str">
        <x:v>reports/multiclass-optuna-20261021-stage4.json</x:v>
      </x:c>
    </x:row>
    <x:row r="164" ht="34" customHeight="1">
      <x:c r="A164" s="9" t="str">
        <x:v>multiclass-optuna-20261021-stage4-candidate</x:v>
      </x:c>
      <x:c r="B164" s="9" t="str">
        <x:v>SHA-256 train.csv</x:v>
      </x:c>
      <x:c r="C164" s="9" t="str">
        <x:v>171a8915070b7575b729a32f70a45d1ad7b6f43c65b4ce12a0a68af30d5cb4e0</x:v>
      </x:c>
      <x:c r="D164" s="9" t="str">
        <x:v>reports/multiclass-optuna-20261021-stage4.json</x:v>
      </x:c>
    </x:row>
    <x:row r="165" ht="34" customHeight="1">
      <x:c r="A165" s="9" t="str">
        <x:v>multiclass-optuna-20261021-stage4-candidate</x:v>
      </x:c>
      <x:c r="B165" s="9" t="str">
        <x:v>SHA-256 test.csv</x:v>
      </x:c>
      <x:c r="C165" s="9" t="str">
        <x:v>b825449603931b5f05a8855e3d92b57775221c93ed4730ac6b4c75b9ea608862</x:v>
      </x:c>
      <x:c r="D165" s="9" t="str">
        <x:v>reports/multiclass-optuna-20261021-stage4.json</x:v>
      </x:c>
    </x:row>
    <x:row r="166" ht="34" customHeight="1">
      <x:c r="A166" s="9" t="str">
        <x:v>multiclass-optuna-20261021-stage4-candidate</x:v>
      </x:c>
      <x:c r="B166" s="9" t="str">
        <x:v>SHA-256 sample_submission.csv</x:v>
      </x:c>
      <x:c r="C166" s="9" t="str">
        <x:v>4d23642fcff01e49b0ef5a9f018b2381c12fad97282fa586285ad49b01e9623e</x:v>
      </x:c>
      <x:c r="D166" s="9" t="str">
        <x:v>reports/multiclass-optuna-20261021-stage4.json</x:v>
      </x:c>
    </x:row>
    <x:row r="167" ht="34" customHeight="1">
      <x:c r="A167" s="9" t="str">
        <x:v>multiclass-optuna-20261021-stage4</x:v>
      </x:c>
      <x:c r="B167" s="9" t="str">
        <x:v>bootstrap</x:v>
      </x:c>
      <x:c r="C167" s="18" t="b">
        <x:v>1</x:v>
      </x:c>
      <x:c r="D167" s="9" t="str">
        <x:v>reports/multiclass-optuna-20261021-stage4.json</x:v>
      </x:c>
    </x:row>
    <x:row r="168" ht="34" customHeight="1">
      <x:c r="A168" s="9" t="str">
        <x:v>multiclass-optuna-20261021-stage4</x:v>
      </x:c>
      <x:c r="B168" s="9" t="str">
        <x:v>ccp_alpha</x:v>
      </x:c>
      <x:c r="C168" s="9" t="n">
        <x:v>0</x:v>
      </x:c>
      <x:c r="D168" s="9" t="str">
        <x:v>reports/multiclass-optuna-20261021-stage4.json</x:v>
      </x:c>
    </x:row>
    <x:row r="169" ht="34" customHeight="1">
      <x:c r="A169" s="9" t="str">
        <x:v>multiclass-optuna-20261021-stage4</x:v>
      </x:c>
      <x:c r="B169" s="9" t="str">
        <x:v>class_weight</x:v>
      </x:c>
      <x:c r="C169" s="9" t="str">
        <x:v>None</x:v>
      </x:c>
      <x:c r="D169" s="9" t="str">
        <x:v>reports/multiclass-optuna-20261021-stage4.json</x:v>
      </x:c>
    </x:row>
    <x:row r="170" ht="34" customHeight="1">
      <x:c r="A170" s="9" t="str">
        <x:v>multiclass-optuna-20261021-stage4</x:v>
      </x:c>
      <x:c r="B170" s="9" t="str">
        <x:v>criterion</x:v>
      </x:c>
      <x:c r="C170" s="9" t="str">
        <x:v>gini</x:v>
      </x:c>
      <x:c r="D170" s="9" t="str">
        <x:v>reports/multiclass-optuna-20261021-stage4.json</x:v>
      </x:c>
    </x:row>
    <x:row r="171" ht="34" customHeight="1">
      <x:c r="A171" s="9" t="str">
        <x:v>multiclass-optuna-20261021-stage4</x:v>
      </x:c>
      <x:c r="B171" s="9" t="str">
        <x:v>max_depth</x:v>
      </x:c>
      <x:c r="C171" s="9" t="n">
        <x:v>20</x:v>
      </x:c>
      <x:c r="D171" s="9" t="str">
        <x:v>reports/multiclass-optuna-20261021-stage4.json</x:v>
      </x:c>
    </x:row>
    <x:row r="172" ht="34" customHeight="1">
      <x:c r="A172" s="9" t="str">
        <x:v>multiclass-optuna-20261021-stage4</x:v>
      </x:c>
      <x:c r="B172" s="9" t="str">
        <x:v>max_features</x:v>
      </x:c>
      <x:c r="C172" s="9" t="n">
        <x:v>0.8</x:v>
      </x:c>
      <x:c r="D172" s="9" t="str">
        <x:v>reports/multiclass-optuna-20261021-stage4.json</x:v>
      </x:c>
    </x:row>
    <x:row r="173" ht="34" customHeight="1">
      <x:c r="A173" s="9" t="str">
        <x:v>multiclass-optuna-20261021-stage4</x:v>
      </x:c>
      <x:c r="B173" s="9" t="str">
        <x:v>max_leaf_nodes</x:v>
      </x:c>
      <x:c r="C173" s="9" t="str">
        <x:v>None</x:v>
      </x:c>
      <x:c r="D173" s="9" t="str">
        <x:v>reports/multiclass-optuna-20261021-stage4.json</x:v>
      </x:c>
    </x:row>
    <x:row r="174" ht="34" customHeight="1">
      <x:c r="A174" s="9" t="str">
        <x:v>multiclass-optuna-20261021-stage4</x:v>
      </x:c>
      <x:c r="B174" s="9" t="str">
        <x:v>max_samples</x:v>
      </x:c>
      <x:c r="C174" s="9" t="str">
        <x:v>None</x:v>
      </x:c>
      <x:c r="D174" s="9" t="str">
        <x:v>reports/multiclass-optuna-20261021-stage4.json</x:v>
      </x:c>
    </x:row>
    <x:row r="175" ht="34" customHeight="1">
      <x:c r="A175" s="9" t="str">
        <x:v>multiclass-optuna-20261021-stage4</x:v>
      </x:c>
      <x:c r="B175" s="9" t="str">
        <x:v>min_impurity_decrease</x:v>
      </x:c>
      <x:c r="C175" s="9" t="n">
        <x:v>0</x:v>
      </x:c>
      <x:c r="D175" s="9" t="str">
        <x:v>reports/multiclass-optuna-20261021-stage4.json</x:v>
      </x:c>
    </x:row>
    <x:row r="176" ht="34" customHeight="1">
      <x:c r="A176" s="9" t="str">
        <x:v>multiclass-optuna-20261021-stage4</x:v>
      </x:c>
      <x:c r="B176" s="9" t="str">
        <x:v>min_samples_leaf</x:v>
      </x:c>
      <x:c r="C176" s="9" t="n">
        <x:v>2</x:v>
      </x:c>
      <x:c r="D176" s="9" t="str">
        <x:v>reports/multiclass-optuna-20261021-stage4.json</x:v>
      </x:c>
    </x:row>
    <x:row r="177" ht="34" customHeight="1">
      <x:c r="A177" s="9" t="str">
        <x:v>multiclass-optuna-20261021-stage4</x:v>
      </x:c>
      <x:c r="B177" s="9" t="str">
        <x:v>min_samples_split</x:v>
      </x:c>
      <x:c r="C177" s="9" t="n">
        <x:v>2</x:v>
      </x:c>
      <x:c r="D177" s="9" t="str">
        <x:v>reports/multiclass-optuna-20261021-stage4.json</x:v>
      </x:c>
    </x:row>
    <x:row r="178" ht="34" customHeight="1">
      <x:c r="A178" s="9" t="str">
        <x:v>multiclass-optuna-20261021-stage4</x:v>
      </x:c>
      <x:c r="B178" s="9" t="str">
        <x:v>min_weight_fraction_leaf</x:v>
      </x:c>
      <x:c r="C178" s="9" t="n">
        <x:v>0</x:v>
      </x:c>
      <x:c r="D178" s="9" t="str">
        <x:v>reports/multiclass-optuna-20261021-stage4.json</x:v>
      </x:c>
    </x:row>
    <x:row r="179" ht="34" customHeight="1">
      <x:c r="A179" s="9" t="str">
        <x:v>multiclass-optuna-20261021-stage4</x:v>
      </x:c>
      <x:c r="B179" s="9" t="str">
        <x:v>monotonic_cst</x:v>
      </x:c>
      <x:c r="C179" s="9" t="str">
        <x:v>None</x:v>
      </x:c>
      <x:c r="D179" s="9" t="str">
        <x:v>reports/multiclass-optuna-20261021-stage4.json</x:v>
      </x:c>
    </x:row>
    <x:row r="180" ht="34" customHeight="1">
      <x:c r="A180" s="9" t="str">
        <x:v>multiclass-optuna-20261021-stage4</x:v>
      </x:c>
      <x:c r="B180" s="9" t="str">
        <x:v>n_estimators</x:v>
      </x:c>
      <x:c r="C180" s="9" t="n">
        <x:v>150</x:v>
      </x:c>
      <x:c r="D180" s="9" t="str">
        <x:v>reports/multiclass-optuna-20261021-stage4.json</x:v>
      </x:c>
    </x:row>
    <x:row r="181" ht="34" customHeight="1">
      <x:c r="A181" s="9" t="str">
        <x:v>multiclass-optuna-20261021-stage4</x:v>
      </x:c>
      <x:c r="B181" s="9" t="str">
        <x:v>n_jobs</x:v>
      </x:c>
      <x:c r="C181" s="9" t="n">
        <x:v>4</x:v>
      </x:c>
      <x:c r="D181" s="9" t="str">
        <x:v>reports/multiclass-optuna-20261021-stage4.json</x:v>
      </x:c>
    </x:row>
    <x:row r="182" ht="34" customHeight="1">
      <x:c r="A182" s="9" t="str">
        <x:v>multiclass-optuna-20261021-stage4</x:v>
      </x:c>
      <x:c r="B182" s="9" t="str">
        <x:v>oob_score</x:v>
      </x:c>
      <x:c r="C182" s="18" t="b">
        <x:v>0</x:v>
      </x:c>
      <x:c r="D182" s="9" t="str">
        <x:v>reports/multiclass-optuna-20261021-stage4.json</x:v>
      </x:c>
    </x:row>
    <x:row r="183" ht="34" customHeight="1">
      <x:c r="A183" s="9" t="str">
        <x:v>multiclass-optuna-20261021-stage4</x:v>
      </x:c>
      <x:c r="B183" s="9" t="str">
        <x:v>random_state</x:v>
      </x:c>
      <x:c r="C183" s="9" t="n">
        <x:v>42</x:v>
      </x:c>
      <x:c r="D183" s="9" t="str">
        <x:v>reports/multiclass-optuna-20261021-stage4.json</x:v>
      </x:c>
    </x:row>
    <x:row r="184" ht="34" customHeight="1">
      <x:c r="A184" s="9" t="str">
        <x:v>multiclass-optuna-20261021-stage4</x:v>
      </x:c>
      <x:c r="B184" s="9" t="str">
        <x:v>verbose</x:v>
      </x:c>
      <x:c r="C184" s="9" t="n">
        <x:v>0</x:v>
      </x:c>
      <x:c r="D184" s="9" t="str">
        <x:v>reports/multiclass-optuna-20261021-stage4.json</x:v>
      </x:c>
    </x:row>
    <x:row r="185" ht="34" customHeight="1">
      <x:c r="A185" s="9" t="str">
        <x:v>multiclass-optuna-20261021-stage4</x:v>
      </x:c>
      <x:c r="B185" s="9" t="str">
        <x:v>warm_start</x:v>
      </x:c>
      <x:c r="C185" s="18" t="b">
        <x:v>0</x:v>
      </x:c>
      <x:c r="D185" s="9" t="str">
        <x:v>reports/multiclass-optuna-20261021-stage4.json</x:v>
      </x:c>
    </x:row>
    <x:row r="186" ht="34" customHeight="1">
      <x:c r="A186" s="9" t="str">
        <x:v>multiclass-optuna-20261021-stage4</x:v>
      </x:c>
      <x:c r="B186" s="9" t="str">
        <x:v>split</x:v>
      </x:c>
      <x:c r="C186" s="9" t="str">
        <x:v>stratified 80/20; random_state=42</x:v>
      </x:c>
      <x:c r="D186" s="9" t="str">
        <x:v>reports/multiclass-optuna-20261021-stage4.json</x:v>
      </x:c>
    </x:row>
    <x:row r="187" ht="34" customHeight="1">
      <x:c r="A187" s="9" t="str">
        <x:v>multiclass-optuna-20261021-stage4</x:v>
      </x:c>
      <x:c r="B187" s="9" t="str">
        <x:v>seed</x:v>
      </x:c>
      <x:c r="C187" s="9" t="n">
        <x:v>42</x:v>
      </x:c>
      <x:c r="D187" s="9" t="str">
        <x:v>reports/multiclass-optuna-20261021-stage4.json</x:v>
      </x:c>
    </x:row>
    <x:row r="188" ht="34" customHeight="1">
      <x:c r="A188" s="9" t="str">
        <x:v>multiclass-optuna-20261021-stage4</x:v>
      </x:c>
      <x:c r="B188" s="9" t="str">
        <x:v>seconds (собственное время)</x:v>
      </x:c>
      <x:c r="C188" s="9" t="n">
        <x:v>315.8</x:v>
      </x:c>
      <x:c r="D188" s="9" t="str">
        <x:v>reports/multiclass-optuna-20261021-stage4.json</x:v>
      </x:c>
    </x:row>
    <x:row r="189" ht="34" customHeight="1">
      <x:c r="A189" s="9" t="str">
        <x:v>multiclass-optuna-20261021-stage4</x:v>
      </x:c>
      <x:c r="B189" s="9" t="str">
        <x:v>Примечание времени</x:v>
      </x:c>
      <x:c r="C189" s="9" t="str">
        <x:v>Полный запуск с финальным обучением, если не указано иное</x:v>
      </x:c>
      <x:c r="D189" s="9" t="str">
        <x:v>reports/multiclass-optuna-20261021-stage4.json</x:v>
      </x:c>
    </x:row>
    <x:row r="190" ht="34" customHeight="1">
      <x:c r="A190" s="9" t="str">
        <x:v>multiclass-optuna-20261021-stage4</x:v>
      </x:c>
      <x:c r="B190" s="9" t="str">
        <x:v>SHA-256 кода</x:v>
      </x:c>
      <x:c r="C190" s="9" t="str">
        <x:v>8209044b823a48546ad16d735708144c197110d9f420467d954e83834707e818</x:v>
      </x:c>
      <x:c r="D190" s="9" t="str">
        <x:v>reports/multiclass-optuna-20261021-stage4.json</x:v>
      </x:c>
    </x:row>
    <x:row r="191" ht="34" customHeight="1">
      <x:c r="A191" s="9" t="str">
        <x:v>multiclass-optuna-20261021-stage4</x:v>
      </x:c>
      <x:c r="B191" s="9" t="str">
        <x:v>SHA-256 train.csv</x:v>
      </x:c>
      <x:c r="C191" s="9" t="str">
        <x:v>171a8915070b7575b729a32f70a45d1ad7b6f43c65b4ce12a0a68af30d5cb4e0</x:v>
      </x:c>
      <x:c r="D191" s="9" t="str">
        <x:v>reports/multiclass-optuna-20261021-stage4.json</x:v>
      </x:c>
    </x:row>
    <x:row r="192" ht="34" customHeight="1">
      <x:c r="A192" s="9" t="str">
        <x:v>multiclass-optuna-20261021-stage4</x:v>
      </x:c>
      <x:c r="B192" s="9" t="str">
        <x:v>SHA-256 test.csv</x:v>
      </x:c>
      <x:c r="C192" s="9" t="str">
        <x:v>b825449603931b5f05a8855e3d92b57775221c93ed4730ac6b4c75b9ea608862</x:v>
      </x:c>
      <x:c r="D192" s="9" t="str">
        <x:v>reports/multiclass-optuna-20261021-stage4.json</x:v>
      </x:c>
    </x:row>
    <x:row r="193" ht="34" customHeight="1">
      <x:c r="A193" s="9" t="str">
        <x:v>multiclass-optuna-20261021-stage4</x:v>
      </x:c>
      <x:c r="B193" s="9" t="str">
        <x:v>SHA-256 sample_submission.csv</x:v>
      </x:c>
      <x:c r="C193" s="9" t="str">
        <x:v>4d23642fcff01e49b0ef5a9f018b2381c12fad97282fa586285ad49b01e9623e</x:v>
      </x:c>
      <x:c r="D193" s="9" t="str">
        <x:v>reports/multiclass-optuna-20261021-stage4.json</x:v>
      </x:c>
    </x:row>
    <x:row r="194" ht="34" customHeight="1">
      <x:c r="A194" s="9" t="str">
        <x:v>C00-forest-control</x:v>
      </x:c>
      <x:c r="B194" s="9" t="str">
        <x:v>bootstrap</x:v>
      </x:c>
      <x:c r="C194" s="18" t="b">
        <x:v>1</x:v>
      </x:c>
      <x:c r="D194" s="9" t="str">
        <x:v>reports/hypotheses-20261021-stage5/C00-forest-control.json</x:v>
      </x:c>
    </x:row>
    <x:row r="195" ht="34" customHeight="1">
      <x:c r="A195" s="9" t="str">
        <x:v>C00-forest-control</x:v>
      </x:c>
      <x:c r="B195" s="9" t="str">
        <x:v>ccp_alpha</x:v>
      </x:c>
      <x:c r="C195" s="9" t="n">
        <x:v>0</x:v>
      </x:c>
      <x:c r="D195" s="9" t="str">
        <x:v>reports/hypotheses-20261021-stage5/C00-forest-control.json</x:v>
      </x:c>
    </x:row>
    <x:row r="196" ht="34" customHeight="1">
      <x:c r="A196" s="9" t="str">
        <x:v>C00-forest-control</x:v>
      </x:c>
      <x:c r="B196" s="9" t="str">
        <x:v>class_weight</x:v>
      </x:c>
      <x:c r="C196" s="9" t="str">
        <x:v>None</x:v>
      </x:c>
      <x:c r="D196" s="9" t="str">
        <x:v>reports/hypotheses-20261021-stage5/C00-forest-control.json</x:v>
      </x:c>
    </x:row>
    <x:row r="197" ht="34" customHeight="1">
      <x:c r="A197" s="9" t="str">
        <x:v>C00-forest-control</x:v>
      </x:c>
      <x:c r="B197" s="9" t="str">
        <x:v>criterion</x:v>
      </x:c>
      <x:c r="C197" s="9" t="str">
        <x:v>gini</x:v>
      </x:c>
      <x:c r="D197" s="9" t="str">
        <x:v>reports/hypotheses-20261021-stage5/C00-forest-control.json</x:v>
      </x:c>
    </x:row>
    <x:row r="198" ht="34" customHeight="1">
      <x:c r="A198" s="9" t="str">
        <x:v>C00-forest-control</x:v>
      </x:c>
      <x:c r="B198" s="9" t="str">
        <x:v>max_depth</x:v>
      </x:c>
      <x:c r="C198" s="9" t="n">
        <x:v>20</x:v>
      </x:c>
      <x:c r="D198" s="9" t="str">
        <x:v>reports/hypotheses-20261021-stage5/C00-forest-control.json</x:v>
      </x:c>
    </x:row>
    <x:row r="199" ht="34" customHeight="1">
      <x:c r="A199" s="9" t="str">
        <x:v>C00-forest-control</x:v>
      </x:c>
      <x:c r="B199" s="9" t="str">
        <x:v>max_features</x:v>
      </x:c>
      <x:c r="C199" s="9" t="n">
        <x:v>0.8</x:v>
      </x:c>
      <x:c r="D199" s="9" t="str">
        <x:v>reports/hypotheses-20261021-stage5/C00-forest-control.json</x:v>
      </x:c>
    </x:row>
    <x:row r="200" ht="34" customHeight="1">
      <x:c r="A200" s="9" t="str">
        <x:v>C00-forest-control</x:v>
      </x:c>
      <x:c r="B200" s="9" t="str">
        <x:v>max_leaf_nodes</x:v>
      </x:c>
      <x:c r="C200" s="9" t="str">
        <x:v>None</x:v>
      </x:c>
      <x:c r="D200" s="9" t="str">
        <x:v>reports/hypotheses-20261021-stage5/C00-forest-control.json</x:v>
      </x:c>
    </x:row>
    <x:row r="201" ht="34" customHeight="1">
      <x:c r="A201" s="9" t="str">
        <x:v>C00-forest-control</x:v>
      </x:c>
      <x:c r="B201" s="9" t="str">
        <x:v>max_samples</x:v>
      </x:c>
      <x:c r="C201" s="9" t="str">
        <x:v>None</x:v>
      </x:c>
      <x:c r="D201" s="9" t="str">
        <x:v>reports/hypotheses-20261021-stage5/C00-forest-control.json</x:v>
      </x:c>
    </x:row>
    <x:row r="202" ht="34" customHeight="1">
      <x:c r="A202" s="9" t="str">
        <x:v>C00-forest-control</x:v>
      </x:c>
      <x:c r="B202" s="9" t="str">
        <x:v>min_impurity_decrease</x:v>
      </x:c>
      <x:c r="C202" s="9" t="n">
        <x:v>0</x:v>
      </x:c>
      <x:c r="D202" s="9" t="str">
        <x:v>reports/hypotheses-20261021-stage5/C00-forest-control.json</x:v>
      </x:c>
    </x:row>
    <x:row r="203" ht="34" customHeight="1">
      <x:c r="A203" s="9" t="str">
        <x:v>C00-forest-control</x:v>
      </x:c>
      <x:c r="B203" s="9" t="str">
        <x:v>min_samples_leaf</x:v>
      </x:c>
      <x:c r="C203" s="9" t="n">
        <x:v>2</x:v>
      </x:c>
      <x:c r="D203" s="9" t="str">
        <x:v>reports/hypotheses-20261021-stage5/C00-forest-control.json</x:v>
      </x:c>
    </x:row>
    <x:row r="204" ht="34" customHeight="1">
      <x:c r="A204" s="9" t="str">
        <x:v>C00-forest-control</x:v>
      </x:c>
      <x:c r="B204" s="9" t="str">
        <x:v>min_samples_split</x:v>
      </x:c>
      <x:c r="C204" s="9" t="n">
        <x:v>2</x:v>
      </x:c>
      <x:c r="D204" s="9" t="str">
        <x:v>reports/hypotheses-20261021-stage5/C00-forest-control.json</x:v>
      </x:c>
    </x:row>
    <x:row r="205" ht="34" customHeight="1">
      <x:c r="A205" s="9" t="str">
        <x:v>C00-forest-control</x:v>
      </x:c>
      <x:c r="B205" s="9" t="str">
        <x:v>min_weight_fraction_leaf</x:v>
      </x:c>
      <x:c r="C205" s="9" t="n">
        <x:v>0</x:v>
      </x:c>
      <x:c r="D205" s="9" t="str">
        <x:v>reports/hypotheses-20261021-stage5/C00-forest-control.json</x:v>
      </x:c>
    </x:row>
    <x:row r="206" ht="34" customHeight="1">
      <x:c r="A206" s="9" t="str">
        <x:v>C00-forest-control</x:v>
      </x:c>
      <x:c r="B206" s="9" t="str">
        <x:v>monotonic_cst</x:v>
      </x:c>
      <x:c r="C206" s="9" t="str">
        <x:v>None</x:v>
      </x:c>
      <x:c r="D206" s="9" t="str">
        <x:v>reports/hypotheses-20261021-stage5/C00-forest-control.json</x:v>
      </x:c>
    </x:row>
    <x:row r="207" ht="34" customHeight="1">
      <x:c r="A207" s="9" t="str">
        <x:v>C00-forest-control</x:v>
      </x:c>
      <x:c r="B207" s="9" t="str">
        <x:v>n_estimators</x:v>
      </x:c>
      <x:c r="C207" s="9" t="n">
        <x:v>150</x:v>
      </x:c>
      <x:c r="D207" s="9" t="str">
        <x:v>reports/hypotheses-20261021-stage5/C00-forest-control.json</x:v>
      </x:c>
    </x:row>
    <x:row r="208" ht="34" customHeight="1">
      <x:c r="A208" s="9" t="str">
        <x:v>C00-forest-control</x:v>
      </x:c>
      <x:c r="B208" s="9" t="str">
        <x:v>n_jobs</x:v>
      </x:c>
      <x:c r="C208" s="9" t="n">
        <x:v>4</x:v>
      </x:c>
      <x:c r="D208" s="9" t="str">
        <x:v>reports/hypotheses-20261021-stage5/C00-forest-control.json</x:v>
      </x:c>
    </x:row>
    <x:row r="209" ht="34" customHeight="1">
      <x:c r="A209" s="9" t="str">
        <x:v>C00-forest-control</x:v>
      </x:c>
      <x:c r="B209" s="9" t="str">
        <x:v>oob_score</x:v>
      </x:c>
      <x:c r="C209" s="18" t="b">
        <x:v>0</x:v>
      </x:c>
      <x:c r="D209" s="9" t="str">
        <x:v>reports/hypotheses-20261021-stage5/C00-forest-control.json</x:v>
      </x:c>
    </x:row>
    <x:row r="210" ht="34" customHeight="1">
      <x:c r="A210" s="9" t="str">
        <x:v>C00-forest-control</x:v>
      </x:c>
      <x:c r="B210" s="9" t="str">
        <x:v>random_state</x:v>
      </x:c>
      <x:c r="C210" s="9" t="n">
        <x:v>42</x:v>
      </x:c>
      <x:c r="D210" s="9" t="str">
        <x:v>reports/hypotheses-20261021-stage5/C00-forest-control.json</x:v>
      </x:c>
    </x:row>
    <x:row r="211" ht="34" customHeight="1">
      <x:c r="A211" s="9" t="str">
        <x:v>C00-forest-control</x:v>
      </x:c>
      <x:c r="B211" s="9" t="str">
        <x:v>verbose</x:v>
      </x:c>
      <x:c r="C211" s="9" t="n">
        <x:v>0</x:v>
      </x:c>
      <x:c r="D211" s="9" t="str">
        <x:v>reports/hypotheses-20261021-stage5/C00-forest-control.json</x:v>
      </x:c>
    </x:row>
    <x:row r="212" ht="34" customHeight="1">
      <x:c r="A212" s="9" t="str">
        <x:v>C00-forest-control</x:v>
      </x:c>
      <x:c r="B212" s="9" t="str">
        <x:v>warm_start</x:v>
      </x:c>
      <x:c r="C212" s="18" t="b">
        <x:v>0</x:v>
      </x:c>
      <x:c r="D212" s="9" t="str">
        <x:v>reports/hypotheses-20261021-stage5/C00-forest-control.json</x:v>
      </x:c>
    </x:row>
    <x:row r="213" ht="34" customHeight="1">
      <x:c r="A213" s="9" t="str">
        <x:v>C00-forest-control</x:v>
      </x:c>
      <x:c r="B213" s="9" t="str">
        <x:v>recipe.family</x:v>
      </x:c>
      <x:c r="C213" s="9" t="str">
        <x:v>forest</x:v>
      </x:c>
      <x:c r="D213" s="9" t="str">
        <x:v>reports/hypotheses-20261021-stage5/C00-forest-control.json</x:v>
      </x:c>
    </x:row>
    <x:row r="214" ht="34" customHeight="1">
      <x:c r="A214" s="9" t="str">
        <x:v>C00-forest-control</x:v>
      </x:c>
      <x:c r="B214" s="9" t="str">
        <x:v>recipe.variant</x:v>
      </x:c>
      <x:c r="C214" s="9" t="str">
        <x:v>plain</x:v>
      </x:c>
      <x:c r="D214" s="9" t="str">
        <x:v>reports/hypotheses-20261021-stage5/C00-forest-control.json</x:v>
      </x:c>
    </x:row>
    <x:row r="215" ht="34" customHeight="1">
      <x:c r="A215" s="9" t="str">
        <x:v>C00-forest-control</x:v>
      </x:c>
      <x:c r="B215" s="9" t="str">
        <x:v>split</x:v>
      </x:c>
      <x:c r="C215" s="9" t="str">
        <x:v>stratified 80/20; random_state=42</x:v>
      </x:c>
      <x:c r="D215" s="9" t="str">
        <x:v>reports/hypotheses-20261021-stage5/C00-forest-control.json</x:v>
      </x:c>
    </x:row>
    <x:row r="216" ht="34" customHeight="1">
      <x:c r="A216" s="9" t="str">
        <x:v>C00-forest-control</x:v>
      </x:c>
      <x:c r="B216" s="9" t="str">
        <x:v>seed</x:v>
      </x:c>
      <x:c r="C216" s="9" t="n">
        <x:v>42</x:v>
      </x:c>
      <x:c r="D216" s="9" t="str">
        <x:v>reports/hypotheses-20261021-stage5/C00-forest-control.json</x:v>
      </x:c>
    </x:row>
    <x:row r="217" ht="34" customHeight="1">
      <x:c r="A217" s="9" t="str">
        <x:v>C00-forest-control</x:v>
      </x:c>
      <x:c r="B217" s="9" t="str">
        <x:v>seconds (собственное время)</x:v>
      </x:c>
      <x:c r="C217" s="9" t="n">
        <x:v>79.36</x:v>
      </x:c>
      <x:c r="D217" s="9" t="str">
        <x:v>reports/hypotheses-20261021-stage5/C00-forest-control.json</x:v>
      </x:c>
    </x:row>
    <x:row r="218" ht="34" customHeight="1">
      <x:c r="A218" s="9" t="str">
        <x:v>C00-forest-control</x:v>
      </x:c>
      <x:c r="B218" s="9" t="str">
        <x:v>Примечание времени</x:v>
      </x:c>
      <x:c r="C218" s="9" t="str">
        <x:v>Полный запуск с финальным обучением, если не указано иное</x:v>
      </x:c>
      <x:c r="D218" s="9" t="str">
        <x:v>reports/hypotheses-20261021-stage5/C00-forest-control.json</x:v>
      </x:c>
    </x:row>
    <x:row r="219" ht="34" customHeight="1">
      <x:c r="A219" s="9" t="str">
        <x:v>C00-forest-control</x:v>
      </x:c>
      <x:c r="B219" s="9" t="str">
        <x:v>SHA-256 кода</x:v>
      </x:c>
      <x:c r="C219" s="9" t="str">
        <x:v>c042517deb5c06d2882d27a21e1ed4a2bdea3c40106f37781fa18fc8f6c9df8b</x:v>
      </x:c>
      <x:c r="D219" s="9" t="str">
        <x:v>reports/hypotheses-20261021-stage5/C00-forest-control.json</x:v>
      </x:c>
    </x:row>
    <x:row r="220" ht="34" customHeight="1">
      <x:c r="A220" s="9" t="str">
        <x:v>C00-forest-control</x:v>
      </x:c>
      <x:c r="B220" s="9" t="str">
        <x:v>SHA-256 train.csv</x:v>
      </x:c>
      <x:c r="C220" s="9" t="str">
        <x:v>171a8915070b7575b729a32f70a45d1ad7b6f43c65b4ce12a0a68af30d5cb4e0</x:v>
      </x:c>
      <x:c r="D220" s="9" t="str">
        <x:v>reports/hypotheses-20261021-stage5/C00-forest-control.json</x:v>
      </x:c>
    </x:row>
    <x:row r="221" ht="34" customHeight="1">
      <x:c r="A221" s="9" t="str">
        <x:v>C00-forest-control</x:v>
      </x:c>
      <x:c r="B221" s="9" t="str">
        <x:v>SHA-256 test.csv</x:v>
      </x:c>
      <x:c r="C221" s="9" t="str">
        <x:v>b825449603931b5f05a8855e3d92b57775221c93ed4730ac6b4c75b9ea608862</x:v>
      </x:c>
      <x:c r="D221" s="9" t="str">
        <x:v>reports/hypotheses-20261021-stage5/C00-forest-control.json</x:v>
      </x:c>
    </x:row>
    <x:row r="222" ht="34" customHeight="1">
      <x:c r="A222" s="9" t="str">
        <x:v>C00-forest-control</x:v>
      </x:c>
      <x:c r="B222" s="9" t="str">
        <x:v>SHA-256 sample_submission.csv</x:v>
      </x:c>
      <x:c r="C222" s="9" t="str">
        <x:v>4d23642fcff01e49b0ef5a9f018b2381c12fad97282fa586285ad49b01e9623e</x:v>
      </x:c>
      <x:c r="D222" s="9" t="str">
        <x:v>reports/hypotheses-20261021-stage5/C00-forest-control.json</x:v>
      </x:c>
    </x:row>
    <x:row r="223" ht="34" customHeight="1">
      <x:c r="A223" s="9" t="str">
        <x:v>H1-balanced-forest</x:v>
      </x:c>
      <x:c r="B223" s="9" t="str">
        <x:v>bootstrap</x:v>
      </x:c>
      <x:c r="C223" s="18" t="b">
        <x:v>1</x:v>
      </x:c>
      <x:c r="D223" s="9" t="str">
        <x:v>reports/hypotheses-20261021-stage5/H1-balanced-forest.json</x:v>
      </x:c>
    </x:row>
    <x:row r="224" ht="34" customHeight="1">
      <x:c r="A224" s="9" t="str">
        <x:v>H1-balanced-forest</x:v>
      </x:c>
      <x:c r="B224" s="9" t="str">
        <x:v>ccp_alpha</x:v>
      </x:c>
      <x:c r="C224" s="9" t="n">
        <x:v>0</x:v>
      </x:c>
      <x:c r="D224" s="9" t="str">
        <x:v>reports/hypotheses-20261021-stage5/H1-balanced-forest.json</x:v>
      </x:c>
    </x:row>
    <x:row r="225" ht="34" customHeight="1">
      <x:c r="A225" s="9" t="str">
        <x:v>H1-balanced-forest</x:v>
      </x:c>
      <x:c r="B225" s="9" t="str">
        <x:v>class_weight</x:v>
      </x:c>
      <x:c r="C225" s="9" t="str">
        <x:v>balanced</x:v>
      </x:c>
      <x:c r="D225" s="9" t="str">
        <x:v>reports/hypotheses-20261021-stage5/H1-balanced-forest.json</x:v>
      </x:c>
    </x:row>
    <x:row r="226" ht="34" customHeight="1">
      <x:c r="A226" s="9" t="str">
        <x:v>H1-balanced-forest</x:v>
      </x:c>
      <x:c r="B226" s="9" t="str">
        <x:v>criterion</x:v>
      </x:c>
      <x:c r="C226" s="9" t="str">
        <x:v>gini</x:v>
      </x:c>
      <x:c r="D226" s="9" t="str">
        <x:v>reports/hypotheses-20261021-stage5/H1-balanced-forest.json</x:v>
      </x:c>
    </x:row>
    <x:row r="227" ht="34" customHeight="1">
      <x:c r="A227" s="9" t="str">
        <x:v>H1-balanced-forest</x:v>
      </x:c>
      <x:c r="B227" s="9" t="str">
        <x:v>max_depth</x:v>
      </x:c>
      <x:c r="C227" s="9" t="n">
        <x:v>20</x:v>
      </x:c>
      <x:c r="D227" s="9" t="str">
        <x:v>reports/hypotheses-20261021-stage5/H1-balanced-forest.json</x:v>
      </x:c>
    </x:row>
    <x:row r="228" ht="34" customHeight="1">
      <x:c r="A228" s="9" t="str">
        <x:v>H1-balanced-forest</x:v>
      </x:c>
      <x:c r="B228" s="9" t="str">
        <x:v>max_features</x:v>
      </x:c>
      <x:c r="C228" s="9" t="n">
        <x:v>0.8</x:v>
      </x:c>
      <x:c r="D228" s="9" t="str">
        <x:v>reports/hypotheses-20261021-stage5/H1-balanced-forest.json</x:v>
      </x:c>
    </x:row>
    <x:row r="229" ht="34" customHeight="1">
      <x:c r="A229" s="9" t="str">
        <x:v>H1-balanced-forest</x:v>
      </x:c>
      <x:c r="B229" s="9" t="str">
        <x:v>max_leaf_nodes</x:v>
      </x:c>
      <x:c r="C229" s="9" t="str">
        <x:v>None</x:v>
      </x:c>
      <x:c r="D229" s="9" t="str">
        <x:v>reports/hypotheses-20261021-stage5/H1-balanced-forest.json</x:v>
      </x:c>
    </x:row>
    <x:row r="230" ht="34" customHeight="1">
      <x:c r="A230" s="9" t="str">
        <x:v>H1-balanced-forest</x:v>
      </x:c>
      <x:c r="B230" s="9" t="str">
        <x:v>max_samples</x:v>
      </x:c>
      <x:c r="C230" s="9" t="str">
        <x:v>None</x:v>
      </x:c>
      <x:c r="D230" s="9" t="str">
        <x:v>reports/hypotheses-20261021-stage5/H1-balanced-forest.json</x:v>
      </x:c>
    </x:row>
    <x:row r="231" ht="34" customHeight="1">
      <x:c r="A231" s="9" t="str">
        <x:v>H1-balanced-forest</x:v>
      </x:c>
      <x:c r="B231" s="9" t="str">
        <x:v>min_impurity_decrease</x:v>
      </x:c>
      <x:c r="C231" s="9" t="n">
        <x:v>0</x:v>
      </x:c>
      <x:c r="D231" s="9" t="str">
        <x:v>reports/hypotheses-20261021-stage5/H1-balanced-forest.json</x:v>
      </x:c>
    </x:row>
    <x:row r="232" ht="34" customHeight="1">
      <x:c r="A232" s="9" t="str">
        <x:v>H1-balanced-forest</x:v>
      </x:c>
      <x:c r="B232" s="9" t="str">
        <x:v>min_samples_leaf</x:v>
      </x:c>
      <x:c r="C232" s="9" t="n">
        <x:v>2</x:v>
      </x:c>
      <x:c r="D232" s="9" t="str">
        <x:v>reports/hypotheses-20261021-stage5/H1-balanced-forest.json</x:v>
      </x:c>
    </x:row>
    <x:row r="233" ht="34" customHeight="1">
      <x:c r="A233" s="9" t="str">
        <x:v>H1-balanced-forest</x:v>
      </x:c>
      <x:c r="B233" s="9" t="str">
        <x:v>min_samples_split</x:v>
      </x:c>
      <x:c r="C233" s="9" t="n">
        <x:v>2</x:v>
      </x:c>
      <x:c r="D233" s="9" t="str">
        <x:v>reports/hypotheses-20261021-stage5/H1-balanced-forest.json</x:v>
      </x:c>
    </x:row>
    <x:row r="234" ht="34" customHeight="1">
      <x:c r="A234" s="9" t="str">
        <x:v>H1-balanced-forest</x:v>
      </x:c>
      <x:c r="B234" s="9" t="str">
        <x:v>min_weight_fraction_leaf</x:v>
      </x:c>
      <x:c r="C234" s="9" t="n">
        <x:v>0</x:v>
      </x:c>
      <x:c r="D234" s="9" t="str">
        <x:v>reports/hypotheses-20261021-stage5/H1-balanced-forest.json</x:v>
      </x:c>
    </x:row>
    <x:row r="235" ht="34" customHeight="1">
      <x:c r="A235" s="9" t="str">
        <x:v>H1-balanced-forest</x:v>
      </x:c>
      <x:c r="B235" s="9" t="str">
        <x:v>monotonic_cst</x:v>
      </x:c>
      <x:c r="C235" s="9" t="str">
        <x:v>None</x:v>
      </x:c>
      <x:c r="D235" s="9" t="str">
        <x:v>reports/hypotheses-20261021-stage5/H1-balanced-forest.json</x:v>
      </x:c>
    </x:row>
    <x:row r="236" ht="34" customHeight="1">
      <x:c r="A236" s="9" t="str">
        <x:v>H1-balanced-forest</x:v>
      </x:c>
      <x:c r="B236" s="9" t="str">
        <x:v>n_estimators</x:v>
      </x:c>
      <x:c r="C236" s="9" t="n">
        <x:v>150</x:v>
      </x:c>
      <x:c r="D236" s="9" t="str">
        <x:v>reports/hypotheses-20261021-stage5/H1-balanced-forest.json</x:v>
      </x:c>
    </x:row>
    <x:row r="237" ht="34" customHeight="1">
      <x:c r="A237" s="9" t="str">
        <x:v>H1-balanced-forest</x:v>
      </x:c>
      <x:c r="B237" s="9" t="str">
        <x:v>n_jobs</x:v>
      </x:c>
      <x:c r="C237" s="9" t="n">
        <x:v>4</x:v>
      </x:c>
      <x:c r="D237" s="9" t="str">
        <x:v>reports/hypotheses-20261021-stage5/H1-balanced-forest.json</x:v>
      </x:c>
    </x:row>
    <x:row r="238" ht="34" customHeight="1">
      <x:c r="A238" s="9" t="str">
        <x:v>H1-balanced-forest</x:v>
      </x:c>
      <x:c r="B238" s="9" t="str">
        <x:v>oob_score</x:v>
      </x:c>
      <x:c r="C238" s="18" t="b">
        <x:v>0</x:v>
      </x:c>
      <x:c r="D238" s="9" t="str">
        <x:v>reports/hypotheses-20261021-stage5/H1-balanced-forest.json</x:v>
      </x:c>
    </x:row>
    <x:row r="239" ht="34" customHeight="1">
      <x:c r="A239" s="9" t="str">
        <x:v>H1-balanced-forest</x:v>
      </x:c>
      <x:c r="B239" s="9" t="str">
        <x:v>random_state</x:v>
      </x:c>
      <x:c r="C239" s="9" t="n">
        <x:v>42</x:v>
      </x:c>
      <x:c r="D239" s="9" t="str">
        <x:v>reports/hypotheses-20261021-stage5/H1-balanced-forest.json</x:v>
      </x:c>
    </x:row>
    <x:row r="240" ht="34" customHeight="1">
      <x:c r="A240" s="9" t="str">
        <x:v>H1-balanced-forest</x:v>
      </x:c>
      <x:c r="B240" s="9" t="str">
        <x:v>verbose</x:v>
      </x:c>
      <x:c r="C240" s="9" t="n">
        <x:v>0</x:v>
      </x:c>
      <x:c r="D240" s="9" t="str">
        <x:v>reports/hypotheses-20261021-stage5/H1-balanced-forest.json</x:v>
      </x:c>
    </x:row>
    <x:row r="241" ht="34" customHeight="1">
      <x:c r="A241" s="9" t="str">
        <x:v>H1-balanced-forest</x:v>
      </x:c>
      <x:c r="B241" s="9" t="str">
        <x:v>warm_start</x:v>
      </x:c>
      <x:c r="C241" s="18" t="b">
        <x:v>0</x:v>
      </x:c>
      <x:c r="D241" s="9" t="str">
        <x:v>reports/hypotheses-20261021-stage5/H1-balanced-forest.json</x:v>
      </x:c>
    </x:row>
    <x:row r="242" ht="34" customHeight="1">
      <x:c r="A242" s="9" t="str">
        <x:v>H1-balanced-forest</x:v>
      </x:c>
      <x:c r="B242" s="9" t="str">
        <x:v>recipe.family</x:v>
      </x:c>
      <x:c r="C242" s="9" t="str">
        <x:v>forest</x:v>
      </x:c>
      <x:c r="D242" s="9" t="str">
        <x:v>reports/hypotheses-20261021-stage5/H1-balanced-forest.json</x:v>
      </x:c>
    </x:row>
    <x:row r="243" ht="34" customHeight="1">
      <x:c r="A243" s="9" t="str">
        <x:v>H1-balanced-forest</x:v>
      </x:c>
      <x:c r="B243" s="9" t="str">
        <x:v>recipe.variant</x:v>
      </x:c>
      <x:c r="C243" s="9" t="str">
        <x:v>plain</x:v>
      </x:c>
      <x:c r="D243" s="9" t="str">
        <x:v>reports/hypotheses-20261021-stage5/H1-balanced-forest.json</x:v>
      </x:c>
    </x:row>
    <x:row r="244" ht="34" customHeight="1">
      <x:c r="A244" s="9" t="str">
        <x:v>H1-balanced-forest</x:v>
      </x:c>
      <x:c r="B244" s="9" t="str">
        <x:v>recipe.class_weight</x:v>
      </x:c>
      <x:c r="C244" s="9" t="str">
        <x:v>balanced</x:v>
      </x:c>
      <x:c r="D244" s="9" t="str">
        <x:v>reports/hypotheses-20261021-stage5/H1-balanced-forest.json</x:v>
      </x:c>
    </x:row>
    <x:row r="245" ht="34" customHeight="1">
      <x:c r="A245" s="9" t="str">
        <x:v>H1-balanced-forest</x:v>
      </x:c>
      <x:c r="B245" s="9" t="str">
        <x:v>split</x:v>
      </x:c>
      <x:c r="C245" s="9" t="str">
        <x:v>stratified 80/20; random_state=42</x:v>
      </x:c>
      <x:c r="D245" s="9" t="str">
        <x:v>reports/hypotheses-20261021-stage5/H1-balanced-forest.json</x:v>
      </x:c>
    </x:row>
    <x:row r="246" ht="34" customHeight="1">
      <x:c r="A246" s="9" t="str">
        <x:v>H1-balanced-forest</x:v>
      </x:c>
      <x:c r="B246" s="9" t="str">
        <x:v>seed</x:v>
      </x:c>
      <x:c r="C246" s="9" t="n">
        <x:v>42</x:v>
      </x:c>
      <x:c r="D246" s="9" t="str">
        <x:v>reports/hypotheses-20261021-stage5/H1-balanced-forest.json</x:v>
      </x:c>
    </x:row>
    <x:row r="247" ht="34" customHeight="1">
      <x:c r="A247" s="9" t="str">
        <x:v>H1-balanced-forest</x:v>
      </x:c>
      <x:c r="B247" s="9" t="str">
        <x:v>seconds (собственное время)</x:v>
      </x:c>
      <x:c r="C247" s="9" t="n">
        <x:v>87.24</x:v>
      </x:c>
      <x:c r="D247" s="9" t="str">
        <x:v>reports/hypotheses-20261021-stage5/H1-balanced-forest.json</x:v>
      </x:c>
    </x:row>
    <x:row r="248" ht="34" customHeight="1">
      <x:c r="A248" s="9" t="str">
        <x:v>H1-balanced-forest</x:v>
      </x:c>
      <x:c r="B248" s="9" t="str">
        <x:v>Примечание времени</x:v>
      </x:c>
      <x:c r="C248" s="9" t="str">
        <x:v>Полный запуск с финальным обучением, если не указано иное</x:v>
      </x:c>
      <x:c r="D248" s="9" t="str">
        <x:v>reports/hypotheses-20261021-stage5/H1-balanced-forest.json</x:v>
      </x:c>
    </x:row>
    <x:row r="249" ht="34" customHeight="1">
      <x:c r="A249" s="9" t="str">
        <x:v>H1-balanced-forest</x:v>
      </x:c>
      <x:c r="B249" s="9" t="str">
        <x:v>SHA-256 кода</x:v>
      </x:c>
      <x:c r="C249" s="9" t="str">
        <x:v>c042517deb5c06d2882d27a21e1ed4a2bdea3c40106f37781fa18fc8f6c9df8b</x:v>
      </x:c>
      <x:c r="D249" s="9" t="str">
        <x:v>reports/hypotheses-20261021-stage5/H1-balanced-forest.json</x:v>
      </x:c>
    </x:row>
    <x:row r="250" ht="34" customHeight="1">
      <x:c r="A250" s="9" t="str">
        <x:v>H1-balanced-forest</x:v>
      </x:c>
      <x:c r="B250" s="9" t="str">
        <x:v>SHA-256 train.csv</x:v>
      </x:c>
      <x:c r="C250" s="9" t="str">
        <x:v>171a8915070b7575b729a32f70a45d1ad7b6f43c65b4ce12a0a68af30d5cb4e0</x:v>
      </x:c>
      <x:c r="D250" s="9" t="str">
        <x:v>reports/hypotheses-20261021-stage5/H1-balanced-forest.json</x:v>
      </x:c>
    </x:row>
    <x:row r="251" ht="34" customHeight="1">
      <x:c r="A251" s="9" t="str">
        <x:v>H1-balanced-forest</x:v>
      </x:c>
      <x:c r="B251" s="9" t="str">
        <x:v>SHA-256 test.csv</x:v>
      </x:c>
      <x:c r="C251" s="9" t="str">
        <x:v>b825449603931b5f05a8855e3d92b57775221c93ed4730ac6b4c75b9ea608862</x:v>
      </x:c>
      <x:c r="D251" s="9" t="str">
        <x:v>reports/hypotheses-20261021-stage5/H1-balanced-forest.json</x:v>
      </x:c>
    </x:row>
    <x:row r="252" ht="34" customHeight="1">
      <x:c r="A252" s="9" t="str">
        <x:v>H1-balanced-forest</x:v>
      </x:c>
      <x:c r="B252" s="9" t="str">
        <x:v>SHA-256 sample_submission.csv</x:v>
      </x:c>
      <x:c r="C252" s="9" t="str">
        <x:v>4d23642fcff01e49b0ef5a9f018b2381c12fad97282fa586285ad49b01e9623e</x:v>
      </x:c>
      <x:c r="D252" s="9" t="str">
        <x:v>reports/hypotheses-20261021-stage5/H1-balanced-forest.json</x:v>
      </x:c>
    </x:row>
    <x:row r="253" ht="34" customHeight="1">
      <x:c r="A253" s="9" t="str">
        <x:v>R00-catboost-control</x:v>
      </x:c>
      <x:c r="B253" s="9" t="str">
        <x:v>iterations</x:v>
      </x:c>
      <x:c r="C253" s="9" t="n">
        <x:v>500</x:v>
      </x:c>
      <x:c r="D253" s="9" t="str">
        <x:v>reports/hypotheses-20261021-stage5/R00-catboost-control.json</x:v>
      </x:c>
    </x:row>
    <x:row r="254" ht="34" customHeight="1">
      <x:c r="A254" s="9" t="str">
        <x:v>R00-catboost-control</x:v>
      </x:c>
      <x:c r="B254" s="9" t="str">
        <x:v>learning_rate</x:v>
      </x:c>
      <x:c r="C254" s="9" t="n">
        <x:v>0.05</x:v>
      </x:c>
      <x:c r="D254" s="9" t="str">
        <x:v>reports/hypotheses-20261021-stage5/R00-catboost-control.json</x:v>
      </x:c>
    </x:row>
    <x:row r="255" ht="34" customHeight="1">
      <x:c r="A255" s="9" t="str">
        <x:v>R00-catboost-control</x:v>
      </x:c>
      <x:c r="B255" s="9" t="str">
        <x:v>depth</x:v>
      </x:c>
      <x:c r="C255" s="9" t="n">
        <x:v>6</x:v>
      </x:c>
      <x:c r="D255" s="9" t="str">
        <x:v>reports/hypotheses-20261021-stage5/R00-catboost-control.json</x:v>
      </x:c>
    </x:row>
    <x:row r="256" ht="34" customHeight="1">
      <x:c r="A256" s="9" t="str">
        <x:v>R00-catboost-control</x:v>
      </x:c>
      <x:c r="B256" s="9" t="str">
        <x:v>l2_leaf_reg</x:v>
      </x:c>
      <x:c r="C256" s="9" t="n">
        <x:v>3</x:v>
      </x:c>
      <x:c r="D256" s="9" t="str">
        <x:v>reports/hypotheses-20261021-stage5/R00-catboost-control.json</x:v>
      </x:c>
    </x:row>
    <x:row r="257" ht="34" customHeight="1">
      <x:c r="A257" s="9" t="str">
        <x:v>R00-catboost-control</x:v>
      </x:c>
      <x:c r="B257" s="9" t="str">
        <x:v>loss_function</x:v>
      </x:c>
      <x:c r="C257" s="9" t="str">
        <x:v>RMSE</x:v>
      </x:c>
      <x:c r="D257" s="9" t="str">
        <x:v>reports/hypotheses-20261021-stage5/R00-catboost-control.json</x:v>
      </x:c>
    </x:row>
    <x:row r="258" ht="34" customHeight="1">
      <x:c r="A258" s="9" t="str">
        <x:v>R00-catboost-control</x:v>
      </x:c>
      <x:c r="B258" s="9" t="str">
        <x:v>thread_count</x:v>
      </x:c>
      <x:c r="C258" s="9" t="n">
        <x:v>4</x:v>
      </x:c>
      <x:c r="D258" s="9" t="str">
        <x:v>reports/hypotheses-20261021-stage5/R00-catboost-control.json</x:v>
      </x:c>
    </x:row>
    <x:row r="259" ht="34" customHeight="1">
      <x:c r="A259" s="9" t="str">
        <x:v>R00-catboost-control</x:v>
      </x:c>
      <x:c r="B259" s="9" t="str">
        <x:v>random_seed</x:v>
      </x:c>
      <x:c r="C259" s="9" t="n">
        <x:v>42</x:v>
      </x:c>
      <x:c r="D259" s="9" t="str">
        <x:v>reports/hypotheses-20261021-stage5/R00-catboost-control.json</x:v>
      </x:c>
    </x:row>
    <x:row r="260" ht="34" customHeight="1">
      <x:c r="A260" s="9" t="str">
        <x:v>R00-catboost-control</x:v>
      </x:c>
      <x:c r="B260" s="9" t="str">
        <x:v>verbose</x:v>
      </x:c>
      <x:c r="C260" s="18" t="b">
        <x:v>0</x:v>
      </x:c>
      <x:c r="D260" s="9" t="str">
        <x:v>reports/hypotheses-20261021-stage5/R00-catboost-control.json</x:v>
      </x:c>
    </x:row>
    <x:row r="261" ht="34" customHeight="1">
      <x:c r="A261" s="9" t="str">
        <x:v>R00-catboost-control</x:v>
      </x:c>
      <x:c r="B261" s="9" t="str">
        <x:v>allow_writing_files</x:v>
      </x:c>
      <x:c r="C261" s="18" t="b">
        <x:v>0</x:v>
      </x:c>
      <x:c r="D261" s="9" t="str">
        <x:v>reports/hypotheses-20261021-stage5/R00-catboost-control.json</x:v>
      </x:c>
    </x:row>
    <x:row r="262" ht="34" customHeight="1">
      <x:c r="A262" s="9" t="str">
        <x:v>R00-catboost-control</x:v>
      </x:c>
      <x:c r="B262" s="9" t="str">
        <x:v>recipe.family</x:v>
      </x:c>
      <x:c r="C262" s="9" t="str">
        <x:v>catboost</x:v>
      </x:c>
      <x:c r="D262" s="9" t="str">
        <x:v>reports/hypotheses-20261021-stage5/R00-catboost-control.json</x:v>
      </x:c>
    </x:row>
    <x:row r="263" ht="34" customHeight="1">
      <x:c r="A263" s="9" t="str">
        <x:v>R00-catboost-control</x:v>
      </x:c>
      <x:c r="B263" s="9" t="str">
        <x:v>recipe.variant</x:v>
      </x:c>
      <x:c r="C263" s="9" t="str">
        <x:v>plain</x:v>
      </x:c>
      <x:c r="D263" s="9" t="str">
        <x:v>reports/hypotheses-20261021-stage5/R00-catboost-control.json</x:v>
      </x:c>
    </x:row>
    <x:row r="264" ht="34" customHeight="1">
      <x:c r="A264" s="9" t="str">
        <x:v>R00-catboost-control</x:v>
      </x:c>
      <x:c r="B264" s="9" t="str">
        <x:v>split</x:v>
      </x:c>
      <x:c r="C264" s="9" t="str">
        <x:v>Year_Factor &lt; 5 train; == 5 validation</x:v>
      </x:c>
      <x:c r="D264" s="9" t="str">
        <x:v>reports/hypotheses-20261021-stage5/R00-catboost-control.json</x:v>
      </x:c>
    </x:row>
    <x:row r="265" ht="34" customHeight="1">
      <x:c r="A265" s="9" t="str">
        <x:v>R00-catboost-control</x:v>
      </x:c>
      <x:c r="B265" s="9" t="str">
        <x:v>seed</x:v>
      </x:c>
      <x:c r="C265" s="9" t="n">
        <x:v>42</x:v>
      </x:c>
      <x:c r="D265" s="9" t="str">
        <x:v>reports/hypotheses-20261021-stage5/R00-catboost-control.json</x:v>
      </x:c>
    </x:row>
    <x:row r="266" ht="34" customHeight="1">
      <x:c r="A266" s="9" t="str">
        <x:v>R00-catboost-control</x:v>
      </x:c>
      <x:c r="B266" s="9" t="str">
        <x:v>seconds (собственное время)</x:v>
      </x:c>
      <x:c r="C266" s="9" t="n">
        <x:v>6.91</x:v>
      </x:c>
      <x:c r="D266" s="9" t="str">
        <x:v>reports/hypotheses-20261021-stage5/R00-catboost-control.json</x:v>
      </x:c>
    </x:row>
    <x:row r="267" ht="34" customHeight="1">
      <x:c r="A267" s="9" t="str">
        <x:v>R00-catboost-control</x:v>
      </x:c>
      <x:c r="B267" s="9" t="str">
        <x:v>Примечание времени</x:v>
      </x:c>
      <x:c r="C267" s="9" t="str">
        <x:v>Полный запуск с финальным обучением, если не указано иное</x:v>
      </x:c>
      <x:c r="D267" s="9" t="str">
        <x:v>reports/hypotheses-20261021-stage5/R00-catboost-control.json</x:v>
      </x:c>
    </x:row>
    <x:row r="268" ht="34" customHeight="1">
      <x:c r="A268" s="9" t="str">
        <x:v>R00-catboost-control</x:v>
      </x:c>
      <x:c r="B268" s="9" t="str">
        <x:v>SHA-256 кода</x:v>
      </x:c>
      <x:c r="C268" s="9" t="str">
        <x:v>c042517deb5c06d2882d27a21e1ed4a2bdea3c40106f37781fa18fc8f6c9df8b</x:v>
      </x:c>
      <x:c r="D268" s="9" t="str">
        <x:v>reports/hypotheses-20261021-stage5/R00-catboost-control.json</x:v>
      </x:c>
    </x:row>
    <x:row r="269" ht="34" customHeight="1">
      <x:c r="A269" s="9" t="str">
        <x:v>R00-catboost-control</x:v>
      </x:c>
      <x:c r="B269" s="9" t="str">
        <x:v>SHA-256 train.csv</x:v>
      </x:c>
      <x:c r="C269" s="9" t="str">
        <x:v>096dac951cf44fade5417ddd0465c41beee3009663dbea34e8d464a4d3c7f775</x:v>
      </x:c>
      <x:c r="D269" s="9" t="str">
        <x:v>reports/hypotheses-20261021-stage5/R00-catboost-control.json</x:v>
      </x:c>
    </x:row>
    <x:row r="270" ht="34" customHeight="1">
      <x:c r="A270" s="9" t="str">
        <x:v>R00-catboost-control</x:v>
      </x:c>
      <x:c r="B270" s="9" t="str">
        <x:v>SHA-256 test.csv</x:v>
      </x:c>
      <x:c r="C270" s="9" t="str">
        <x:v>a7c64db92a07e1a5b1e7f637bdd434da7a5e98a1676c854ec6a645c9e5827095</x:v>
      </x:c>
      <x:c r="D270" s="9" t="str">
        <x:v>reports/hypotheses-20261021-stage5/R00-catboost-control.json</x:v>
      </x:c>
    </x:row>
    <x:row r="271" ht="34" customHeight="1">
      <x:c r="A271" s="9" t="str">
        <x:v>R00-catboost-control</x:v>
      </x:c>
      <x:c r="B271" s="9" t="str">
        <x:v>SHA-256 sample_submission.csv</x:v>
      </x:c>
      <x:c r="C271" s="9" t="str">
        <x:v>0016b18d58c47bbbe842556b4957ba215b3ad50121c9923260537d936a09eae1</x:v>
      </x:c>
      <x:c r="D271" s="9" t="str">
        <x:v>reports/hypotheses-20261021-stage5/R00-catboost-control.json</x:v>
      </x:c>
    </x:row>
    <x:row r="272" ht="34" customHeight="1">
      <x:c r="A272" s="9" t="str">
        <x:v>H2-native-regression</x:v>
      </x:c>
      <x:c r="B272" s="9" t="str">
        <x:v>iterations</x:v>
      </x:c>
      <x:c r="C272" s="9" t="n">
        <x:v>500</x:v>
      </x:c>
      <x:c r="D272" s="9" t="str">
        <x:v>reports/hypotheses-20261021-stage5/H2-native-regression.json</x:v>
      </x:c>
    </x:row>
    <x:row r="273" ht="34" customHeight="1">
      <x:c r="A273" s="9" t="str">
        <x:v>H2-native-regression</x:v>
      </x:c>
      <x:c r="B273" s="9" t="str">
        <x:v>learning_rate</x:v>
      </x:c>
      <x:c r="C273" s="9" t="n">
        <x:v>0.05</x:v>
      </x:c>
      <x:c r="D273" s="9" t="str">
        <x:v>reports/hypotheses-20261021-stage5/H2-native-regression.json</x:v>
      </x:c>
    </x:row>
    <x:row r="274" ht="34" customHeight="1">
      <x:c r="A274" s="9" t="str">
        <x:v>H2-native-regression</x:v>
      </x:c>
      <x:c r="B274" s="9" t="str">
        <x:v>depth</x:v>
      </x:c>
      <x:c r="C274" s="9" t="n">
        <x:v>6</x:v>
      </x:c>
      <x:c r="D274" s="9" t="str">
        <x:v>reports/hypotheses-20261021-stage5/H2-native-regression.json</x:v>
      </x:c>
    </x:row>
    <x:row r="275" ht="34" customHeight="1">
      <x:c r="A275" s="9" t="str">
        <x:v>H2-native-regression</x:v>
      </x:c>
      <x:c r="B275" s="9" t="str">
        <x:v>l2_leaf_reg</x:v>
      </x:c>
      <x:c r="C275" s="9" t="n">
        <x:v>3</x:v>
      </x:c>
      <x:c r="D275" s="9" t="str">
        <x:v>reports/hypotheses-20261021-stage5/H2-native-regression.json</x:v>
      </x:c>
    </x:row>
    <x:row r="276" ht="34" customHeight="1">
      <x:c r="A276" s="9" t="str">
        <x:v>H2-native-regression</x:v>
      </x:c>
      <x:c r="B276" s="9" t="str">
        <x:v>loss_function</x:v>
      </x:c>
      <x:c r="C276" s="9" t="str">
        <x:v>RMSE</x:v>
      </x:c>
      <x:c r="D276" s="9" t="str">
        <x:v>reports/hypotheses-20261021-stage5/H2-native-regression.json</x:v>
      </x:c>
    </x:row>
    <x:row r="277" ht="34" customHeight="1">
      <x:c r="A277" s="9" t="str">
        <x:v>H2-native-regression</x:v>
      </x:c>
      <x:c r="B277" s="9" t="str">
        <x:v>thread_count</x:v>
      </x:c>
      <x:c r="C277" s="9" t="n">
        <x:v>4</x:v>
      </x:c>
      <x:c r="D277" s="9" t="str">
        <x:v>reports/hypotheses-20261021-stage5/H2-native-regression.json</x:v>
      </x:c>
    </x:row>
    <x:row r="278" ht="34" customHeight="1">
      <x:c r="A278" s="9" t="str">
        <x:v>H2-native-regression</x:v>
      </x:c>
      <x:c r="B278" s="9" t="str">
        <x:v>random_seed</x:v>
      </x:c>
      <x:c r="C278" s="9" t="n">
        <x:v>42</x:v>
      </x:c>
      <x:c r="D278" s="9" t="str">
        <x:v>reports/hypotheses-20261021-stage5/H2-native-regression.json</x:v>
      </x:c>
    </x:row>
    <x:row r="279" ht="34" customHeight="1">
      <x:c r="A279" s="9" t="str">
        <x:v>H2-native-regression</x:v>
      </x:c>
      <x:c r="B279" s="9" t="str">
        <x:v>verbose</x:v>
      </x:c>
      <x:c r="C279" s="18" t="b">
        <x:v>0</x:v>
      </x:c>
      <x:c r="D279" s="9" t="str">
        <x:v>reports/hypotheses-20261021-stage5/H2-native-regression.json</x:v>
      </x:c>
    </x:row>
    <x:row r="280" ht="34" customHeight="1">
      <x:c r="A280" s="9" t="str">
        <x:v>H2-native-regression</x:v>
      </x:c>
      <x:c r="B280" s="9" t="str">
        <x:v>allow_writing_files</x:v>
      </x:c>
      <x:c r="C280" s="18" t="b">
        <x:v>0</x:v>
      </x:c>
      <x:c r="D280" s="9" t="str">
        <x:v>reports/hypotheses-20261021-stage5/H2-native-regression.json</x:v>
      </x:c>
    </x:row>
    <x:row r="281" ht="34" customHeight="1">
      <x:c r="A281" s="9" t="str">
        <x:v>H2-native-regression</x:v>
      </x:c>
      <x:c r="B281" s="9" t="str">
        <x:v>cat_features</x:v>
      </x:c>
      <x:c r="C281" s="9" t="str">
        <x:v>["State_Factor","building_class","facility_type"]</x:v>
      </x:c>
      <x:c r="D281" s="9" t="str">
        <x:v>reports/hypotheses-20261021-stage5/H2-native-regression.json</x:v>
      </x:c>
    </x:row>
    <x:row r="282" ht="34" customHeight="1">
      <x:c r="A282" s="9" t="str">
        <x:v>H2-native-regression</x:v>
      </x:c>
      <x:c r="B282" s="9" t="str">
        <x:v>recipe.family</x:v>
      </x:c>
      <x:c r="C282" s="9" t="str">
        <x:v>catboost</x:v>
      </x:c>
      <x:c r="D282" s="9" t="str">
        <x:v>reports/hypotheses-20261021-stage5/H2-native-regression.json</x:v>
      </x:c>
    </x:row>
    <x:row r="283" ht="34" customHeight="1">
      <x:c r="A283" s="9" t="str">
        <x:v>H2-native-regression</x:v>
      </x:c>
      <x:c r="B283" s="9" t="str">
        <x:v>recipe.variant</x:v>
      </x:c>
      <x:c r="C283" s="9" t="str">
        <x:v>native</x:v>
      </x:c>
      <x:c r="D283" s="9" t="str">
        <x:v>reports/hypotheses-20261021-stage5/H2-native-regression.json</x:v>
      </x:c>
    </x:row>
    <x:row r="284" ht="34" customHeight="1">
      <x:c r="A284" s="9" t="str">
        <x:v>H2-native-regression</x:v>
      </x:c>
      <x:c r="B284" s="9" t="str">
        <x:v>split</x:v>
      </x:c>
      <x:c r="C284" s="9" t="str">
        <x:v>Year_Factor &lt; 5 train; == 5 validation</x:v>
      </x:c>
      <x:c r="D284" s="9" t="str">
        <x:v>reports/hypotheses-20261021-stage5/H2-native-regression.json</x:v>
      </x:c>
    </x:row>
    <x:row r="285" ht="34" customHeight="1">
      <x:c r="A285" s="9" t="str">
        <x:v>H2-native-regression</x:v>
      </x:c>
      <x:c r="B285" s="9" t="str">
        <x:v>seed</x:v>
      </x:c>
      <x:c r="C285" s="9" t="n">
        <x:v>42</x:v>
      </x:c>
      <x:c r="D285" s="9" t="str">
        <x:v>reports/hypotheses-20261021-stage5/H2-native-regression.json</x:v>
      </x:c>
    </x:row>
    <x:row r="286" ht="34" customHeight="1">
      <x:c r="A286" s="9" t="str">
        <x:v>H2-native-regression</x:v>
      </x:c>
      <x:c r="B286" s="9" t="str">
        <x:v>seconds (собственное время)</x:v>
      </x:c>
      <x:c r="C286" s="9" t="n">
        <x:v>6.33</x:v>
      </x:c>
      <x:c r="D286" s="9" t="str">
        <x:v>reports/hypotheses-20261021-stage5/H2-native-regression.json</x:v>
      </x:c>
    </x:row>
    <x:row r="287" ht="34" customHeight="1">
      <x:c r="A287" s="9" t="str">
        <x:v>H2-native-regression</x:v>
      </x:c>
      <x:c r="B287" s="9" t="str">
        <x:v>Примечание времени</x:v>
      </x:c>
      <x:c r="C287" s="9" t="str">
        <x:v>Полный запуск с финальным обучением, если не указано иное</x:v>
      </x:c>
      <x:c r="D287" s="9" t="str">
        <x:v>reports/hypotheses-20261021-stage5/H2-native-regression.json</x:v>
      </x:c>
    </x:row>
    <x:row r="288" ht="34" customHeight="1">
      <x:c r="A288" s="9" t="str">
        <x:v>H2-native-regression</x:v>
      </x:c>
      <x:c r="B288" s="9" t="str">
        <x:v>SHA-256 кода</x:v>
      </x:c>
      <x:c r="C288" s="9" t="str">
        <x:v>c042517deb5c06d2882d27a21e1ed4a2bdea3c40106f37781fa18fc8f6c9df8b</x:v>
      </x:c>
      <x:c r="D288" s="9" t="str">
        <x:v>reports/hypotheses-20261021-stage5/H2-native-regression.json</x:v>
      </x:c>
    </x:row>
    <x:row r="289" ht="34" customHeight="1">
      <x:c r="A289" s="9" t="str">
        <x:v>H2-native-regression</x:v>
      </x:c>
      <x:c r="B289" s="9" t="str">
        <x:v>SHA-256 train.csv</x:v>
      </x:c>
      <x:c r="C289" s="9" t="str">
        <x:v>096dac951cf44fade5417ddd0465c41beee3009663dbea34e8d464a4d3c7f775</x:v>
      </x:c>
      <x:c r="D289" s="9" t="str">
        <x:v>reports/hypotheses-20261021-stage5/H2-native-regression.json</x:v>
      </x:c>
    </x:row>
    <x:row r="290" ht="34" customHeight="1">
      <x:c r="A290" s="9" t="str">
        <x:v>H2-native-regression</x:v>
      </x:c>
      <x:c r="B290" s="9" t="str">
        <x:v>SHA-256 test.csv</x:v>
      </x:c>
      <x:c r="C290" s="9" t="str">
        <x:v>a7c64db92a07e1a5b1e7f637bdd434da7a5e98a1676c854ec6a645c9e5827095</x:v>
      </x:c>
      <x:c r="D290" s="9" t="str">
        <x:v>reports/hypotheses-20261021-stage5/H2-native-regression.json</x:v>
      </x:c>
    </x:row>
    <x:row r="291" ht="34" customHeight="1">
      <x:c r="A291" s="9" t="str">
        <x:v>H2-native-regression</x:v>
      </x:c>
      <x:c r="B291" s="9" t="str">
        <x:v>SHA-256 sample_submission.csv</x:v>
      </x:c>
      <x:c r="C291" s="9" t="str">
        <x:v>0016b18d58c47bbbe842556b4957ba215b3ad50121c9923260537d936a09eae1</x:v>
      </x:c>
      <x:c r="D291" s="9" t="str">
        <x:v>reports/hypotheses-20261021-stage5/H2-native-regression.json</x:v>
      </x:c>
    </x:row>
    <x:row r="292" ht="34" customHeight="1">
      <x:c r="A292" s="9" t="str">
        <x:v>C00-catboost-control</x:v>
      </x:c>
      <x:c r="B292" s="9" t="str">
        <x:v>iterations</x:v>
      </x:c>
      <x:c r="C292" s="9" t="n">
        <x:v>500</x:v>
      </x:c>
      <x:c r="D292" s="9" t="str">
        <x:v>reports/hypotheses-20261021-stage5/C00-catboost-control.json</x:v>
      </x:c>
    </x:row>
    <x:row r="293" ht="34" customHeight="1">
      <x:c r="A293" s="9" t="str">
        <x:v>C00-catboost-control</x:v>
      </x:c>
      <x:c r="B293" s="9" t="str">
        <x:v>learning_rate</x:v>
      </x:c>
      <x:c r="C293" s="9" t="n">
        <x:v>0.05</x:v>
      </x:c>
      <x:c r="D293" s="9" t="str">
        <x:v>reports/hypotheses-20261021-stage5/C00-catboost-control.json</x:v>
      </x:c>
    </x:row>
    <x:row r="294" ht="34" customHeight="1">
      <x:c r="A294" s="9" t="str">
        <x:v>C00-catboost-control</x:v>
      </x:c>
      <x:c r="B294" s="9" t="str">
        <x:v>depth</x:v>
      </x:c>
      <x:c r="C294" s="9" t="n">
        <x:v>6</x:v>
      </x:c>
      <x:c r="D294" s="9" t="str">
        <x:v>reports/hypotheses-20261021-stage5/C00-catboost-control.json</x:v>
      </x:c>
    </x:row>
    <x:row r="295" ht="34" customHeight="1">
      <x:c r="A295" s="9" t="str">
        <x:v>C00-catboost-control</x:v>
      </x:c>
      <x:c r="B295" s="9" t="str">
        <x:v>l2_leaf_reg</x:v>
      </x:c>
      <x:c r="C295" s="9" t="n">
        <x:v>3</x:v>
      </x:c>
      <x:c r="D295" s="9" t="str">
        <x:v>reports/hypotheses-20261021-stage5/C00-catboost-control.json</x:v>
      </x:c>
    </x:row>
    <x:row r="296" ht="34" customHeight="1">
      <x:c r="A296" s="9" t="str">
        <x:v>C00-catboost-control</x:v>
      </x:c>
      <x:c r="B296" s="9" t="str">
        <x:v>loss_function</x:v>
      </x:c>
      <x:c r="C296" s="9" t="str">
        <x:v>MultiClass</x:v>
      </x:c>
      <x:c r="D296" s="9" t="str">
        <x:v>reports/hypotheses-20261021-stage5/C00-catboost-control.json</x:v>
      </x:c>
    </x:row>
    <x:row r="297" ht="34" customHeight="1">
      <x:c r="A297" s="9" t="str">
        <x:v>C00-catboost-control</x:v>
      </x:c>
      <x:c r="B297" s="9" t="str">
        <x:v>thread_count</x:v>
      </x:c>
      <x:c r="C297" s="9" t="n">
        <x:v>4</x:v>
      </x:c>
      <x:c r="D297" s="9" t="str">
        <x:v>reports/hypotheses-20261021-stage5/C00-catboost-control.json</x:v>
      </x:c>
    </x:row>
    <x:row r="298" ht="34" customHeight="1">
      <x:c r="A298" s="9" t="str">
        <x:v>C00-catboost-control</x:v>
      </x:c>
      <x:c r="B298" s="9" t="str">
        <x:v>random_seed</x:v>
      </x:c>
      <x:c r="C298" s="9" t="n">
        <x:v>42</x:v>
      </x:c>
      <x:c r="D298" s="9" t="str">
        <x:v>reports/hypotheses-20261021-stage5/C00-catboost-control.json</x:v>
      </x:c>
    </x:row>
    <x:row r="299" ht="34" customHeight="1">
      <x:c r="A299" s="9" t="str">
        <x:v>C00-catboost-control</x:v>
      </x:c>
      <x:c r="B299" s="9" t="str">
        <x:v>verbose</x:v>
      </x:c>
      <x:c r="C299" s="18" t="b">
        <x:v>0</x:v>
      </x:c>
      <x:c r="D299" s="9" t="str">
        <x:v>reports/hypotheses-20261021-stage5/C00-catboost-control.json</x:v>
      </x:c>
    </x:row>
    <x:row r="300" ht="34" customHeight="1">
      <x:c r="A300" s="9" t="str">
        <x:v>C00-catboost-control</x:v>
      </x:c>
      <x:c r="B300" s="9" t="str">
        <x:v>allow_writing_files</x:v>
      </x:c>
      <x:c r="C300" s="18" t="b">
        <x:v>0</x:v>
      </x:c>
      <x:c r="D300" s="9" t="str">
        <x:v>reports/hypotheses-20261021-stage5/C00-catboost-control.json</x:v>
      </x:c>
    </x:row>
    <x:row r="301" ht="34" customHeight="1">
      <x:c r="A301" s="9" t="str">
        <x:v>C00-catboost-control</x:v>
      </x:c>
      <x:c r="B301" s="9" t="str">
        <x:v>recipe.family</x:v>
      </x:c>
      <x:c r="C301" s="9" t="str">
        <x:v>catboost</x:v>
      </x:c>
      <x:c r="D301" s="9" t="str">
        <x:v>reports/hypotheses-20261021-stage5/C00-catboost-control.json</x:v>
      </x:c>
    </x:row>
    <x:row r="302" ht="34" customHeight="1">
      <x:c r="A302" s="9" t="str">
        <x:v>C00-catboost-control</x:v>
      </x:c>
      <x:c r="B302" s="9" t="str">
        <x:v>recipe.variant</x:v>
      </x:c>
      <x:c r="C302" s="9" t="str">
        <x:v>plain</x:v>
      </x:c>
      <x:c r="D302" s="9" t="str">
        <x:v>reports/hypotheses-20261021-stage5/C00-catboost-control.json</x:v>
      </x:c>
    </x:row>
    <x:row r="303" ht="34" customHeight="1">
      <x:c r="A303" s="9" t="str">
        <x:v>C00-catboost-control</x:v>
      </x:c>
      <x:c r="B303" s="9" t="str">
        <x:v>split</x:v>
      </x:c>
      <x:c r="C303" s="9" t="str">
        <x:v>stratified 80/20; random_state=42</x:v>
      </x:c>
      <x:c r="D303" s="9" t="str">
        <x:v>reports/hypotheses-20261021-stage5/C00-catboost-control.json</x:v>
      </x:c>
    </x:row>
    <x:row r="304" ht="34" customHeight="1">
      <x:c r="A304" s="9" t="str">
        <x:v>C00-catboost-control</x:v>
      </x:c>
      <x:c r="B304" s="9" t="str">
        <x:v>seed</x:v>
      </x:c>
      <x:c r="C304" s="9" t="n">
        <x:v>42</x:v>
      </x:c>
      <x:c r="D304" s="9" t="str">
        <x:v>reports/hypotheses-20261021-stage5/C00-catboost-control.json</x:v>
      </x:c>
    </x:row>
    <x:row r="305" ht="34" customHeight="1">
      <x:c r="A305" s="9" t="str">
        <x:v>C00-catboost-control</x:v>
      </x:c>
      <x:c r="B305" s="9" t="str">
        <x:v>seconds (собственное время)</x:v>
      </x:c>
      <x:c r="C305" s="9" t="n">
        <x:v>86.87</x:v>
      </x:c>
      <x:c r="D305" s="9" t="str">
        <x:v>reports/hypotheses-20261021-stage5/C00-catboost-control.json</x:v>
      </x:c>
    </x:row>
    <x:row r="306" ht="34" customHeight="1">
      <x:c r="A306" s="9" t="str">
        <x:v>C00-catboost-control</x:v>
      </x:c>
      <x:c r="B306" s="9" t="str">
        <x:v>Примечание времени</x:v>
      </x:c>
      <x:c r="C306" s="9" t="str">
        <x:v>Полный запуск с финальным обучением, если не указано иное</x:v>
      </x:c>
      <x:c r="D306" s="9" t="str">
        <x:v>reports/hypotheses-20261021-stage5/C00-catboost-control.json</x:v>
      </x:c>
    </x:row>
    <x:row r="307" ht="34" customHeight="1">
      <x:c r="A307" s="9" t="str">
        <x:v>C00-catboost-control</x:v>
      </x:c>
      <x:c r="B307" s="9" t="str">
        <x:v>SHA-256 кода</x:v>
      </x:c>
      <x:c r="C307" s="9" t="str">
        <x:v>c042517deb5c06d2882d27a21e1ed4a2bdea3c40106f37781fa18fc8f6c9df8b</x:v>
      </x:c>
      <x:c r="D307" s="9" t="str">
        <x:v>reports/hypotheses-20261021-stage5/C00-catboost-control.json</x:v>
      </x:c>
    </x:row>
    <x:row r="308" ht="34" customHeight="1">
      <x:c r="A308" s="9" t="str">
        <x:v>C00-catboost-control</x:v>
      </x:c>
      <x:c r="B308" s="9" t="str">
        <x:v>SHA-256 train.csv</x:v>
      </x:c>
      <x:c r="C308" s="9" t="str">
        <x:v>171a8915070b7575b729a32f70a45d1ad7b6f43c65b4ce12a0a68af30d5cb4e0</x:v>
      </x:c>
      <x:c r="D308" s="9" t="str">
        <x:v>reports/hypotheses-20261021-stage5/C00-catboost-control.json</x:v>
      </x:c>
    </x:row>
    <x:row r="309" ht="34" customHeight="1">
      <x:c r="A309" s="9" t="str">
        <x:v>C00-catboost-control</x:v>
      </x:c>
      <x:c r="B309" s="9" t="str">
        <x:v>SHA-256 test.csv</x:v>
      </x:c>
      <x:c r="C309" s="9" t="str">
        <x:v>b825449603931b5f05a8855e3d92b57775221c93ed4730ac6b4c75b9ea608862</x:v>
      </x:c>
      <x:c r="D309" s="9" t="str">
        <x:v>reports/hypotheses-20261021-stage5/C00-catboost-control.json</x:v>
      </x:c>
    </x:row>
    <x:row r="310" ht="34" customHeight="1">
      <x:c r="A310" s="9" t="str">
        <x:v>C00-catboost-control</x:v>
      </x:c>
      <x:c r="B310" s="9" t="str">
        <x:v>SHA-256 sample_submission.csv</x:v>
      </x:c>
      <x:c r="C310" s="9" t="str">
        <x:v>4d23642fcff01e49b0ef5a9f018b2381c12fad97282fa586285ad49b01e9623e</x:v>
      </x:c>
      <x:c r="D310" s="9" t="str">
        <x:v>reports/hypotheses-20261021-stage5/C00-catboost-control.json</x:v>
      </x:c>
    </x:row>
    <x:row r="311" ht="34" customHeight="1">
      <x:c r="A311" s="9" t="str">
        <x:v>H2-native-multiclass</x:v>
      </x:c>
      <x:c r="B311" s="9" t="str">
        <x:v>iterations</x:v>
      </x:c>
      <x:c r="C311" s="9" t="n">
        <x:v>500</x:v>
      </x:c>
      <x:c r="D311" s="9" t="str">
        <x:v>reports/hypotheses-20261021-stage5/H2-native-multiclass.json</x:v>
      </x:c>
    </x:row>
    <x:row r="312" ht="34" customHeight="1">
      <x:c r="A312" s="9" t="str">
        <x:v>H2-native-multiclass</x:v>
      </x:c>
      <x:c r="B312" s="9" t="str">
        <x:v>learning_rate</x:v>
      </x:c>
      <x:c r="C312" s="9" t="n">
        <x:v>0.05</x:v>
      </x:c>
      <x:c r="D312" s="9" t="str">
        <x:v>reports/hypotheses-20261021-stage5/H2-native-multiclass.json</x:v>
      </x:c>
    </x:row>
    <x:row r="313" ht="34" customHeight="1">
      <x:c r="A313" s="9" t="str">
        <x:v>H2-native-multiclass</x:v>
      </x:c>
      <x:c r="B313" s="9" t="str">
        <x:v>depth</x:v>
      </x:c>
      <x:c r="C313" s="9" t="n">
        <x:v>6</x:v>
      </x:c>
      <x:c r="D313" s="9" t="str">
        <x:v>reports/hypotheses-20261021-stage5/H2-native-multiclass.json</x:v>
      </x:c>
    </x:row>
    <x:row r="314" ht="34" customHeight="1">
      <x:c r="A314" s="9" t="str">
        <x:v>H2-native-multiclass</x:v>
      </x:c>
      <x:c r="B314" s="9" t="str">
        <x:v>l2_leaf_reg</x:v>
      </x:c>
      <x:c r="C314" s="9" t="n">
        <x:v>3</x:v>
      </x:c>
      <x:c r="D314" s="9" t="str">
        <x:v>reports/hypotheses-20261021-stage5/H2-native-multiclass.json</x:v>
      </x:c>
    </x:row>
    <x:row r="315" ht="34" customHeight="1">
      <x:c r="A315" s="9" t="str">
        <x:v>H2-native-multiclass</x:v>
      </x:c>
      <x:c r="B315" s="9" t="str">
        <x:v>loss_function</x:v>
      </x:c>
      <x:c r="C315" s="9" t="str">
        <x:v>MultiClass</x:v>
      </x:c>
      <x:c r="D315" s="9" t="str">
        <x:v>reports/hypotheses-20261021-stage5/H2-native-multiclass.json</x:v>
      </x:c>
    </x:row>
    <x:row r="316" ht="34" customHeight="1">
      <x:c r="A316" s="9" t="str">
        <x:v>H2-native-multiclass</x:v>
      </x:c>
      <x:c r="B316" s="9" t="str">
        <x:v>thread_count</x:v>
      </x:c>
      <x:c r="C316" s="9" t="n">
        <x:v>4</x:v>
      </x:c>
      <x:c r="D316" s="9" t="str">
        <x:v>reports/hypotheses-20261021-stage5/H2-native-multiclass.json</x:v>
      </x:c>
    </x:row>
    <x:row r="317" ht="34" customHeight="1">
      <x:c r="A317" s="9" t="str">
        <x:v>H2-native-multiclass</x:v>
      </x:c>
      <x:c r="B317" s="9" t="str">
        <x:v>random_seed</x:v>
      </x:c>
      <x:c r="C317" s="9" t="n">
        <x:v>42</x:v>
      </x:c>
      <x:c r="D317" s="9" t="str">
        <x:v>reports/hypotheses-20261021-stage5/H2-native-multiclass.json</x:v>
      </x:c>
    </x:row>
    <x:row r="318" ht="34" customHeight="1">
      <x:c r="A318" s="9" t="str">
        <x:v>H2-native-multiclass</x:v>
      </x:c>
      <x:c r="B318" s="9" t="str">
        <x:v>verbose</x:v>
      </x:c>
      <x:c r="C318" s="18" t="b">
        <x:v>0</x:v>
      </x:c>
      <x:c r="D318" s="9" t="str">
        <x:v>reports/hypotheses-20261021-stage5/H2-native-multiclass.json</x:v>
      </x:c>
    </x:row>
    <x:row r="319" ht="34" customHeight="1">
      <x:c r="A319" s="9" t="str">
        <x:v>H2-native-multiclass</x:v>
      </x:c>
      <x:c r="B319" s="9" t="str">
        <x:v>allow_writing_files</x:v>
      </x:c>
      <x:c r="C319" s="18" t="b">
        <x:v>0</x:v>
      </x:c>
      <x:c r="D319" s="9" t="str">
        <x:v>reports/hypotheses-20261021-stage5/H2-native-multiclass.json</x:v>
      </x:c>
    </x:row>
    <x:row r="320" ht="34" customHeight="1">
      <x:c r="A320" s="9" t="str">
        <x:v>H2-native-multiclass</x:v>
      </x:c>
      <x:c r="B320" s="9" t="str">
        <x:v>cat_features</x:v>
      </x:c>
      <x:c r="C320" s="9" t="str">
        <x:v>["proto","service","state"]</x:v>
      </x:c>
      <x:c r="D320" s="9" t="str">
        <x:v>reports/hypotheses-20261021-stage5/H2-native-multiclass.json</x:v>
      </x:c>
    </x:row>
    <x:row r="321" ht="34" customHeight="1">
      <x:c r="A321" s="9" t="str">
        <x:v>H2-native-multiclass</x:v>
      </x:c>
      <x:c r="B321" s="9" t="str">
        <x:v>recipe.family</x:v>
      </x:c>
      <x:c r="C321" s="9" t="str">
        <x:v>catboost</x:v>
      </x:c>
      <x:c r="D321" s="9" t="str">
        <x:v>reports/hypotheses-20261021-stage5/H2-native-multiclass.json</x:v>
      </x:c>
    </x:row>
    <x:row r="322" ht="34" customHeight="1">
      <x:c r="A322" s="9" t="str">
        <x:v>H2-native-multiclass</x:v>
      </x:c>
      <x:c r="B322" s="9" t="str">
        <x:v>recipe.variant</x:v>
      </x:c>
      <x:c r="C322" s="9" t="str">
        <x:v>native</x:v>
      </x:c>
      <x:c r="D322" s="9" t="str">
        <x:v>reports/hypotheses-20261021-stage5/H2-native-multiclass.json</x:v>
      </x:c>
    </x:row>
    <x:row r="323" ht="34" customHeight="1">
      <x:c r="A323" s="9" t="str">
        <x:v>H2-native-multiclass</x:v>
      </x:c>
      <x:c r="B323" s="9" t="str">
        <x:v>split</x:v>
      </x:c>
      <x:c r="C323" s="9" t="str">
        <x:v>stratified 80/20; random_state=42</x:v>
      </x:c>
      <x:c r="D323" s="9" t="str">
        <x:v>reports/hypotheses-20261021-stage5/H2-native-multiclass.json</x:v>
      </x:c>
    </x:row>
    <x:row r="324" ht="34" customHeight="1">
      <x:c r="A324" s="9" t="str">
        <x:v>H2-native-multiclass</x:v>
      </x:c>
      <x:c r="B324" s="9" t="str">
        <x:v>seed</x:v>
      </x:c>
      <x:c r="C324" s="9" t="n">
        <x:v>42</x:v>
      </x:c>
      <x:c r="D324" s="9" t="str">
        <x:v>reports/hypotheses-20261021-stage5/H2-native-multiclass.json</x:v>
      </x:c>
    </x:row>
    <x:row r="325" ht="34" customHeight="1">
      <x:c r="A325" s="9" t="str">
        <x:v>H2-native-multiclass</x:v>
      </x:c>
      <x:c r="B325" s="9" t="str">
        <x:v>seconds (собственное время)</x:v>
      </x:c>
      <x:c r="C325" s="9" t="n">
        <x:v>552.26</x:v>
      </x:c>
      <x:c r="D325" s="9" t="str">
        <x:v>reports/hypotheses-20261021-stage5/H2-native-multiclass.json</x:v>
      </x:c>
    </x:row>
    <x:row r="326" ht="34" customHeight="1">
      <x:c r="A326" s="9" t="str">
        <x:v>H2-native-multiclass</x:v>
      </x:c>
      <x:c r="B326" s="9" t="str">
        <x:v>Примечание времени</x:v>
      </x:c>
      <x:c r="C326" s="9" t="str">
        <x:v>Полный запуск с финальным обучением, если не указано иное</x:v>
      </x:c>
      <x:c r="D326" s="9" t="str">
        <x:v>reports/hypotheses-20261021-stage5/H2-native-multiclass.json</x:v>
      </x:c>
    </x:row>
    <x:row r="327" ht="34" customHeight="1">
      <x:c r="A327" s="9" t="str">
        <x:v>H2-native-multiclass</x:v>
      </x:c>
      <x:c r="B327" s="9" t="str">
        <x:v>SHA-256 кода</x:v>
      </x:c>
      <x:c r="C327" s="9" t="str">
        <x:v>c042517deb5c06d2882d27a21e1ed4a2bdea3c40106f37781fa18fc8f6c9df8b</x:v>
      </x:c>
      <x:c r="D327" s="9" t="str">
        <x:v>reports/hypotheses-20261021-stage5/H2-native-multiclass.json</x:v>
      </x:c>
    </x:row>
    <x:row r="328" ht="34" customHeight="1">
      <x:c r="A328" s="9" t="str">
        <x:v>H2-native-multiclass</x:v>
      </x:c>
      <x:c r="B328" s="9" t="str">
        <x:v>SHA-256 train.csv</x:v>
      </x:c>
      <x:c r="C328" s="9" t="str">
        <x:v>171a8915070b7575b729a32f70a45d1ad7b6f43c65b4ce12a0a68af30d5cb4e0</x:v>
      </x:c>
      <x:c r="D328" s="9" t="str">
        <x:v>reports/hypotheses-20261021-stage5/H2-native-multiclass.json</x:v>
      </x:c>
    </x:row>
    <x:row r="329" ht="34" customHeight="1">
      <x:c r="A329" s="9" t="str">
        <x:v>H2-native-multiclass</x:v>
      </x:c>
      <x:c r="B329" s="9" t="str">
        <x:v>SHA-256 test.csv</x:v>
      </x:c>
      <x:c r="C329" s="9" t="str">
        <x:v>b825449603931b5f05a8855e3d92b57775221c93ed4730ac6b4c75b9ea608862</x:v>
      </x:c>
      <x:c r="D329" s="9" t="str">
        <x:v>reports/hypotheses-20261021-stage5/H2-native-multiclass.json</x:v>
      </x:c>
    </x:row>
    <x:row r="330" ht="34" customHeight="1">
      <x:c r="A330" s="9" t="str">
        <x:v>H2-native-multiclass</x:v>
      </x:c>
      <x:c r="B330" s="9" t="str">
        <x:v>SHA-256 sample_submission.csv</x:v>
      </x:c>
      <x:c r="C330" s="9" t="str">
        <x:v>4d23642fcff01e49b0ef5a9f018b2381c12fad97282fa586285ad49b01e9623e</x:v>
      </x:c>
      <x:c r="D330" s="9" t="str">
        <x:v>reports/hypotheses-20261021-stage5/H2-native-multiclass.json</x:v>
      </x:c>
    </x:row>
    <x:row r="331" ht="34" customHeight="1">
      <x:c r="A331" s="9" t="str">
        <x:v>H3-missing-flags</x:v>
      </x:c>
      <x:c r="B331" s="9" t="str">
        <x:v>iterations</x:v>
      </x:c>
      <x:c r="C331" s="9" t="n">
        <x:v>500</x:v>
      </x:c>
      <x:c r="D331" s="9" t="str">
        <x:v>reports/hypotheses-20261021-stage5/H3-missing-flags.json</x:v>
      </x:c>
    </x:row>
    <x:row r="332" ht="34" customHeight="1">
      <x:c r="A332" s="9" t="str">
        <x:v>H3-missing-flags</x:v>
      </x:c>
      <x:c r="B332" s="9" t="str">
        <x:v>learning_rate</x:v>
      </x:c>
      <x:c r="C332" s="9" t="n">
        <x:v>0.05</x:v>
      </x:c>
      <x:c r="D332" s="9" t="str">
        <x:v>reports/hypotheses-20261021-stage5/H3-missing-flags.json</x:v>
      </x:c>
    </x:row>
    <x:row r="333" ht="34" customHeight="1">
      <x:c r="A333" s="9" t="str">
        <x:v>H3-missing-flags</x:v>
      </x:c>
      <x:c r="B333" s="9" t="str">
        <x:v>depth</x:v>
      </x:c>
      <x:c r="C333" s="9" t="n">
        <x:v>6</x:v>
      </x:c>
      <x:c r="D333" s="9" t="str">
        <x:v>reports/hypotheses-20261021-stage5/H3-missing-flags.json</x:v>
      </x:c>
    </x:row>
    <x:row r="334" ht="34" customHeight="1">
      <x:c r="A334" s="9" t="str">
        <x:v>H3-missing-flags</x:v>
      </x:c>
      <x:c r="B334" s="9" t="str">
        <x:v>l2_leaf_reg</x:v>
      </x:c>
      <x:c r="C334" s="9" t="n">
        <x:v>3</x:v>
      </x:c>
      <x:c r="D334" s="9" t="str">
        <x:v>reports/hypotheses-20261021-stage5/H3-missing-flags.json</x:v>
      </x:c>
    </x:row>
    <x:row r="335" ht="34" customHeight="1">
      <x:c r="A335" s="9" t="str">
        <x:v>H3-missing-flags</x:v>
      </x:c>
      <x:c r="B335" s="9" t="str">
        <x:v>loss_function</x:v>
      </x:c>
      <x:c r="C335" s="9" t="str">
        <x:v>RMSE</x:v>
      </x:c>
      <x:c r="D335" s="9" t="str">
        <x:v>reports/hypotheses-20261021-stage5/H3-missing-flags.json</x:v>
      </x:c>
    </x:row>
    <x:row r="336" ht="34" customHeight="1">
      <x:c r="A336" s="9" t="str">
        <x:v>H3-missing-flags</x:v>
      </x:c>
      <x:c r="B336" s="9" t="str">
        <x:v>thread_count</x:v>
      </x:c>
      <x:c r="C336" s="9" t="n">
        <x:v>4</x:v>
      </x:c>
      <x:c r="D336" s="9" t="str">
        <x:v>reports/hypotheses-20261021-stage5/H3-missing-flags.json</x:v>
      </x:c>
    </x:row>
    <x:row r="337" ht="34" customHeight="1">
      <x:c r="A337" s="9" t="str">
        <x:v>H3-missing-flags</x:v>
      </x:c>
      <x:c r="B337" s="9" t="str">
        <x:v>random_seed</x:v>
      </x:c>
      <x:c r="C337" s="9" t="n">
        <x:v>42</x:v>
      </x:c>
      <x:c r="D337" s="9" t="str">
        <x:v>reports/hypotheses-20261021-stage5/H3-missing-flags.json</x:v>
      </x:c>
    </x:row>
    <x:row r="338" ht="34" customHeight="1">
      <x:c r="A338" s="9" t="str">
        <x:v>H3-missing-flags</x:v>
      </x:c>
      <x:c r="B338" s="9" t="str">
        <x:v>verbose</x:v>
      </x:c>
      <x:c r="C338" s="18" t="b">
        <x:v>0</x:v>
      </x:c>
      <x:c r="D338" s="9" t="str">
        <x:v>reports/hypotheses-20261021-stage5/H3-missing-flags.json</x:v>
      </x:c>
    </x:row>
    <x:row r="339" ht="34" customHeight="1">
      <x:c r="A339" s="9" t="str">
        <x:v>H3-missing-flags</x:v>
      </x:c>
      <x:c r="B339" s="9" t="str">
        <x:v>allow_writing_files</x:v>
      </x:c>
      <x:c r="C339" s="18" t="b">
        <x:v>0</x:v>
      </x:c>
      <x:c r="D339" s="9" t="str">
        <x:v>reports/hypotheses-20261021-stage5/H3-missing-flags.json</x:v>
      </x:c>
    </x:row>
    <x:row r="340" ht="34" customHeight="1">
      <x:c r="A340" s="9" t="str">
        <x:v>H3-missing-flags</x:v>
      </x:c>
      <x:c r="B340" s="9" t="str">
        <x:v>recipe.family</x:v>
      </x:c>
      <x:c r="C340" s="9" t="str">
        <x:v>catboost</x:v>
      </x:c>
      <x:c r="D340" s="9" t="str">
        <x:v>reports/hypotheses-20261021-stage5/H3-missing-flags.json</x:v>
      </x:c>
    </x:row>
    <x:row r="341" ht="34" customHeight="1">
      <x:c r="A341" s="9" t="str">
        <x:v>H3-missing-flags</x:v>
      </x:c>
      <x:c r="B341" s="9" t="str">
        <x:v>recipe.variant</x:v>
      </x:c>
      <x:c r="C341" s="9" t="str">
        <x:v>missing_flags</x:v>
      </x:c>
      <x:c r="D341" s="9" t="str">
        <x:v>reports/hypotheses-20261021-stage5/H3-missing-flags.json</x:v>
      </x:c>
    </x:row>
    <x:row r="342" ht="34" customHeight="1">
      <x:c r="A342" s="9" t="str">
        <x:v>H3-missing-flags</x:v>
      </x:c>
      <x:c r="B342" s="9" t="str">
        <x:v>split</x:v>
      </x:c>
      <x:c r="C342" s="9" t="str">
        <x:v>Year_Factor &lt; 5 train; == 5 validation</x:v>
      </x:c>
      <x:c r="D342" s="9" t="str">
        <x:v>reports/hypotheses-20261021-stage5/H3-missing-flags.json</x:v>
      </x:c>
    </x:row>
    <x:row r="343" ht="34" customHeight="1">
      <x:c r="A343" s="9" t="str">
        <x:v>H3-missing-flags</x:v>
      </x:c>
      <x:c r="B343" s="9" t="str">
        <x:v>seed</x:v>
      </x:c>
      <x:c r="C343" s="9" t="n">
        <x:v>42</x:v>
      </x:c>
      <x:c r="D343" s="9" t="str">
        <x:v>reports/hypotheses-20261021-stage5/H3-missing-flags.json</x:v>
      </x:c>
    </x:row>
    <x:row r="344" ht="34" customHeight="1">
      <x:c r="A344" s="9" t="str">
        <x:v>H3-missing-flags</x:v>
      </x:c>
      <x:c r="B344" s="9" t="str">
        <x:v>seconds (собственное время)</x:v>
      </x:c>
      <x:c r="C344" s="9" t="n">
        <x:v>6.96</x:v>
      </x:c>
      <x:c r="D344" s="9" t="str">
        <x:v>reports/hypotheses-20261021-stage5/H3-missing-flags.json</x:v>
      </x:c>
    </x:row>
    <x:row r="345" ht="34" customHeight="1">
      <x:c r="A345" s="9" t="str">
        <x:v>H3-missing-flags</x:v>
      </x:c>
      <x:c r="B345" s="9" t="str">
        <x:v>Примечание времени</x:v>
      </x:c>
      <x:c r="C345" s="9" t="str">
        <x:v>Полный запуск с финальным обучением, если не указано иное</x:v>
      </x:c>
      <x:c r="D345" s="9" t="str">
        <x:v>reports/hypotheses-20261021-stage5/H3-missing-flags.json</x:v>
      </x:c>
    </x:row>
    <x:row r="346" ht="34" customHeight="1">
      <x:c r="A346" s="9" t="str">
        <x:v>H3-missing-flags</x:v>
      </x:c>
      <x:c r="B346" s="9" t="str">
        <x:v>SHA-256 кода</x:v>
      </x:c>
      <x:c r="C346" s="9" t="str">
        <x:v>c042517deb5c06d2882d27a21e1ed4a2bdea3c40106f37781fa18fc8f6c9df8b</x:v>
      </x:c>
      <x:c r="D346" s="9" t="str">
        <x:v>reports/hypotheses-20261021-stage5/H3-missing-flags.json</x:v>
      </x:c>
    </x:row>
    <x:row r="347" ht="34" customHeight="1">
      <x:c r="A347" s="9" t="str">
        <x:v>H3-missing-flags</x:v>
      </x:c>
      <x:c r="B347" s="9" t="str">
        <x:v>SHA-256 train.csv</x:v>
      </x:c>
      <x:c r="C347" s="9" t="str">
        <x:v>096dac951cf44fade5417ddd0465c41beee3009663dbea34e8d464a4d3c7f775</x:v>
      </x:c>
      <x:c r="D347" s="9" t="str">
        <x:v>reports/hypotheses-20261021-stage5/H3-missing-flags.json</x:v>
      </x:c>
    </x:row>
    <x:row r="348" ht="34" customHeight="1">
      <x:c r="A348" s="9" t="str">
        <x:v>H3-missing-flags</x:v>
      </x:c>
      <x:c r="B348" s="9" t="str">
        <x:v>SHA-256 test.csv</x:v>
      </x:c>
      <x:c r="C348" s="9" t="str">
        <x:v>a7c64db92a07e1a5b1e7f637bdd434da7a5e98a1676c854ec6a645c9e5827095</x:v>
      </x:c>
      <x:c r="D348" s="9" t="str">
        <x:v>reports/hypotheses-20261021-stage5/H3-missing-flags.json</x:v>
      </x:c>
    </x:row>
    <x:row r="349" ht="34" customHeight="1">
      <x:c r="A349" s="9" t="str">
        <x:v>H3-missing-flags</x:v>
      </x:c>
      <x:c r="B349" s="9" t="str">
        <x:v>SHA-256 sample_submission.csv</x:v>
      </x:c>
      <x:c r="C349" s="9" t="str">
        <x:v>0016b18d58c47bbbe842556b4957ba215b3ad50121c9923260537d936a09eae1</x:v>
      </x:c>
      <x:c r="D349" s="9" t="str">
        <x:v>reports/hypotheses-20261021-stage5/H3-missing-flags.json</x:v>
      </x:c>
    </x:row>
    <x:row r="350" ht="34" customHeight="1">
      <x:c r="A350" s="9" t="str">
        <x:v>H4-zero-year</x:v>
      </x:c>
      <x:c r="B350" s="9" t="str">
        <x:v>iterations</x:v>
      </x:c>
      <x:c r="C350" s="9" t="n">
        <x:v>500</x:v>
      </x:c>
      <x:c r="D350" s="9" t="str">
        <x:v>reports/hypotheses-20261021-stage5/H4-zero-year.json</x:v>
      </x:c>
    </x:row>
    <x:row r="351" ht="34" customHeight="1">
      <x:c r="A351" s="9" t="str">
        <x:v>H4-zero-year</x:v>
      </x:c>
      <x:c r="B351" s="9" t="str">
        <x:v>learning_rate</x:v>
      </x:c>
      <x:c r="C351" s="9" t="n">
        <x:v>0.05</x:v>
      </x:c>
      <x:c r="D351" s="9" t="str">
        <x:v>reports/hypotheses-20261021-stage5/H4-zero-year.json</x:v>
      </x:c>
    </x:row>
    <x:row r="352" ht="34" customHeight="1">
      <x:c r="A352" s="9" t="str">
        <x:v>H4-zero-year</x:v>
      </x:c>
      <x:c r="B352" s="9" t="str">
        <x:v>depth</x:v>
      </x:c>
      <x:c r="C352" s="9" t="n">
        <x:v>6</x:v>
      </x:c>
      <x:c r="D352" s="9" t="str">
        <x:v>reports/hypotheses-20261021-stage5/H4-zero-year.json</x:v>
      </x:c>
    </x:row>
    <x:row r="353" ht="34" customHeight="1">
      <x:c r="A353" s="9" t="str">
        <x:v>H4-zero-year</x:v>
      </x:c>
      <x:c r="B353" s="9" t="str">
        <x:v>l2_leaf_reg</x:v>
      </x:c>
      <x:c r="C353" s="9" t="n">
        <x:v>3</x:v>
      </x:c>
      <x:c r="D353" s="9" t="str">
        <x:v>reports/hypotheses-20261021-stage5/H4-zero-year.json</x:v>
      </x:c>
    </x:row>
    <x:row r="354" ht="34" customHeight="1">
      <x:c r="A354" s="9" t="str">
        <x:v>H4-zero-year</x:v>
      </x:c>
      <x:c r="B354" s="9" t="str">
        <x:v>loss_function</x:v>
      </x:c>
      <x:c r="C354" s="9" t="str">
        <x:v>RMSE</x:v>
      </x:c>
      <x:c r="D354" s="9" t="str">
        <x:v>reports/hypotheses-20261021-stage5/H4-zero-year.json</x:v>
      </x:c>
    </x:row>
    <x:row r="355" ht="34" customHeight="1">
      <x:c r="A355" s="9" t="str">
        <x:v>H4-zero-year</x:v>
      </x:c>
      <x:c r="B355" s="9" t="str">
        <x:v>thread_count</x:v>
      </x:c>
      <x:c r="C355" s="9" t="n">
        <x:v>4</x:v>
      </x:c>
      <x:c r="D355" s="9" t="str">
        <x:v>reports/hypotheses-20261021-stage5/H4-zero-year.json</x:v>
      </x:c>
    </x:row>
    <x:row r="356" ht="34" customHeight="1">
      <x:c r="A356" s="9" t="str">
        <x:v>H4-zero-year</x:v>
      </x:c>
      <x:c r="B356" s="9" t="str">
        <x:v>random_seed</x:v>
      </x:c>
      <x:c r="C356" s="9" t="n">
        <x:v>42</x:v>
      </x:c>
      <x:c r="D356" s="9" t="str">
        <x:v>reports/hypotheses-20261021-stage5/H4-zero-year.json</x:v>
      </x:c>
    </x:row>
    <x:row r="357" ht="34" customHeight="1">
      <x:c r="A357" s="9" t="str">
        <x:v>H4-zero-year</x:v>
      </x:c>
      <x:c r="B357" s="9" t="str">
        <x:v>verbose</x:v>
      </x:c>
      <x:c r="C357" s="18" t="b">
        <x:v>0</x:v>
      </x:c>
      <x:c r="D357" s="9" t="str">
        <x:v>reports/hypotheses-20261021-stage5/H4-zero-year.json</x:v>
      </x:c>
    </x:row>
    <x:row r="358" ht="34" customHeight="1">
      <x:c r="A358" s="9" t="str">
        <x:v>H4-zero-year</x:v>
      </x:c>
      <x:c r="B358" s="9" t="str">
        <x:v>allow_writing_files</x:v>
      </x:c>
      <x:c r="C358" s="18" t="b">
        <x:v>0</x:v>
      </x:c>
      <x:c r="D358" s="9" t="str">
        <x:v>reports/hypotheses-20261021-stage5/H4-zero-year.json</x:v>
      </x:c>
    </x:row>
    <x:row r="359" ht="34" customHeight="1">
      <x:c r="A359" s="9" t="str">
        <x:v>H4-zero-year</x:v>
      </x:c>
      <x:c r="B359" s="9" t="str">
        <x:v>recipe.family</x:v>
      </x:c>
      <x:c r="C359" s="9" t="str">
        <x:v>catboost</x:v>
      </x:c>
      <x:c r="D359" s="9" t="str">
        <x:v>reports/hypotheses-20261021-stage5/H4-zero-year.json</x:v>
      </x:c>
    </x:row>
    <x:row r="360" ht="34" customHeight="1">
      <x:c r="A360" s="9" t="str">
        <x:v>H4-zero-year</x:v>
      </x:c>
      <x:c r="B360" s="9" t="str">
        <x:v>recipe.variant</x:v>
      </x:c>
      <x:c r="C360" s="9" t="str">
        <x:v>zero_year</x:v>
      </x:c>
      <x:c r="D360" s="9" t="str">
        <x:v>reports/hypotheses-20261021-stage5/H4-zero-year.json</x:v>
      </x:c>
    </x:row>
    <x:row r="361" ht="34" customHeight="1">
      <x:c r="A361" s="9" t="str">
        <x:v>H4-zero-year</x:v>
      </x:c>
      <x:c r="B361" s="9" t="str">
        <x:v>split</x:v>
      </x:c>
      <x:c r="C361" s="9" t="str">
        <x:v>Year_Factor &lt; 5 train; == 5 validation</x:v>
      </x:c>
      <x:c r="D361" s="9" t="str">
        <x:v>reports/hypotheses-20261021-stage5/H4-zero-year.json</x:v>
      </x:c>
    </x:row>
    <x:row r="362" ht="34" customHeight="1">
      <x:c r="A362" s="9" t="str">
        <x:v>H4-zero-year</x:v>
      </x:c>
      <x:c r="B362" s="9" t="str">
        <x:v>seed</x:v>
      </x:c>
      <x:c r="C362" s="9" t="n">
        <x:v>42</x:v>
      </x:c>
      <x:c r="D362" s="9" t="str">
        <x:v>reports/hypotheses-20261021-stage5/H4-zero-year.json</x:v>
      </x:c>
    </x:row>
    <x:row r="363" ht="34" customHeight="1">
      <x:c r="A363" s="9" t="str">
        <x:v>H4-zero-year</x:v>
      </x:c>
      <x:c r="B363" s="9" t="str">
        <x:v>seconds (собственное время)</x:v>
      </x:c>
      <x:c r="C363" s="9" t="n">
        <x:v>6.68</x:v>
      </x:c>
      <x:c r="D363" s="9" t="str">
        <x:v>reports/hypotheses-20261021-stage5/H4-zero-year.json</x:v>
      </x:c>
    </x:row>
    <x:row r="364" ht="34" customHeight="1">
      <x:c r="A364" s="9" t="str">
        <x:v>H4-zero-year</x:v>
      </x:c>
      <x:c r="B364" s="9" t="str">
        <x:v>Примечание времени</x:v>
      </x:c>
      <x:c r="C364" s="9" t="str">
        <x:v>Полный запуск с финальным обучением, если не указано иное</x:v>
      </x:c>
      <x:c r="D364" s="9" t="str">
        <x:v>reports/hypotheses-20261021-stage5/H4-zero-year.json</x:v>
      </x:c>
    </x:row>
    <x:row r="365" ht="34" customHeight="1">
      <x:c r="A365" s="9" t="str">
        <x:v>H4-zero-year</x:v>
      </x:c>
      <x:c r="B365" s="9" t="str">
        <x:v>SHA-256 кода</x:v>
      </x:c>
      <x:c r="C365" s="9" t="str">
        <x:v>c042517deb5c06d2882d27a21e1ed4a2bdea3c40106f37781fa18fc8f6c9df8b</x:v>
      </x:c>
      <x:c r="D365" s="9" t="str">
        <x:v>reports/hypotheses-20261021-stage5/H4-zero-year.json</x:v>
      </x:c>
    </x:row>
    <x:row r="366" ht="34" customHeight="1">
      <x:c r="A366" s="9" t="str">
        <x:v>H4-zero-year</x:v>
      </x:c>
      <x:c r="B366" s="9" t="str">
        <x:v>SHA-256 train.csv</x:v>
      </x:c>
      <x:c r="C366" s="9" t="str">
        <x:v>096dac951cf44fade5417ddd0465c41beee3009663dbea34e8d464a4d3c7f775</x:v>
      </x:c>
      <x:c r="D366" s="9" t="str">
        <x:v>reports/hypotheses-20261021-stage5/H4-zero-year.json</x:v>
      </x:c>
    </x:row>
    <x:row r="367" ht="34" customHeight="1">
      <x:c r="A367" s="9" t="str">
        <x:v>H4-zero-year</x:v>
      </x:c>
      <x:c r="B367" s="9" t="str">
        <x:v>SHA-256 test.csv</x:v>
      </x:c>
      <x:c r="C367" s="9" t="str">
        <x:v>a7c64db92a07e1a5b1e7f637bdd434da7a5e98a1676c854ec6a645c9e5827095</x:v>
      </x:c>
      <x:c r="D367" s="9" t="str">
        <x:v>reports/hypotheses-20261021-stage5/H4-zero-year.json</x:v>
      </x:c>
    </x:row>
    <x:row r="368" ht="34" customHeight="1">
      <x:c r="A368" s="9" t="str">
        <x:v>H4-zero-year</x:v>
      </x:c>
      <x:c r="B368" s="9" t="str">
        <x:v>SHA-256 sample_submission.csv</x:v>
      </x:c>
      <x:c r="C368" s="9" t="str">
        <x:v>0016b18d58c47bbbe842556b4957ba215b3ad50121c9923260537d936a09eae1</x:v>
      </x:c>
      <x:c r="D368" s="9" t="str">
        <x:v>reports/hypotheses-20261021-stage5/H4-zero-year.json</x:v>
      </x:c>
    </x:row>
    <x:row r="369" ht="34" customHeight="1">
      <x:c r="A369" s="9" t="str">
        <x:v>H5-flow-ratios</x:v>
      </x:c>
      <x:c r="B369" s="9" t="str">
        <x:v>bootstrap</x:v>
      </x:c>
      <x:c r="C369" s="18" t="b">
        <x:v>1</x:v>
      </x:c>
      <x:c r="D369" s="9" t="str">
        <x:v>reports/hypotheses-20261021-stage5/H5-flow-ratios.json</x:v>
      </x:c>
    </x:row>
    <x:row r="370" ht="34" customHeight="1">
      <x:c r="A370" s="9" t="str">
        <x:v>H5-flow-ratios</x:v>
      </x:c>
      <x:c r="B370" s="9" t="str">
        <x:v>ccp_alpha</x:v>
      </x:c>
      <x:c r="C370" s="9" t="n">
        <x:v>0</x:v>
      </x:c>
      <x:c r="D370" s="9" t="str">
        <x:v>reports/hypotheses-20261021-stage5/H5-flow-ratios.json</x:v>
      </x:c>
    </x:row>
    <x:row r="371" ht="34" customHeight="1">
      <x:c r="A371" s="9" t="str">
        <x:v>H5-flow-ratios</x:v>
      </x:c>
      <x:c r="B371" s="9" t="str">
        <x:v>class_weight</x:v>
      </x:c>
      <x:c r="C371" s="9" t="str">
        <x:v>None</x:v>
      </x:c>
      <x:c r="D371" s="9" t="str">
        <x:v>reports/hypotheses-20261021-stage5/H5-flow-ratios.json</x:v>
      </x:c>
    </x:row>
    <x:row r="372" ht="34" customHeight="1">
      <x:c r="A372" s="9" t="str">
        <x:v>H5-flow-ratios</x:v>
      </x:c>
      <x:c r="B372" s="9" t="str">
        <x:v>criterion</x:v>
      </x:c>
      <x:c r="C372" s="9" t="str">
        <x:v>gini</x:v>
      </x:c>
      <x:c r="D372" s="9" t="str">
        <x:v>reports/hypotheses-20261021-stage5/H5-flow-ratios.json</x:v>
      </x:c>
    </x:row>
    <x:row r="373" ht="34" customHeight="1">
      <x:c r="A373" s="9" t="str">
        <x:v>H5-flow-ratios</x:v>
      </x:c>
      <x:c r="B373" s="9" t="str">
        <x:v>max_depth</x:v>
      </x:c>
      <x:c r="C373" s="9" t="n">
        <x:v>20</x:v>
      </x:c>
      <x:c r="D373" s="9" t="str">
        <x:v>reports/hypotheses-20261021-stage5/H5-flow-ratios.json</x:v>
      </x:c>
    </x:row>
    <x:row r="374" ht="34" customHeight="1">
      <x:c r="A374" s="9" t="str">
        <x:v>H5-flow-ratios</x:v>
      </x:c>
      <x:c r="B374" s="9" t="str">
        <x:v>max_features</x:v>
      </x:c>
      <x:c r="C374" s="9" t="n">
        <x:v>0.8</x:v>
      </x:c>
      <x:c r="D374" s="9" t="str">
        <x:v>reports/hypotheses-20261021-stage5/H5-flow-ratios.json</x:v>
      </x:c>
    </x:row>
    <x:row r="375" ht="34" customHeight="1">
      <x:c r="A375" s="9" t="str">
        <x:v>H5-flow-ratios</x:v>
      </x:c>
      <x:c r="B375" s="9" t="str">
        <x:v>max_leaf_nodes</x:v>
      </x:c>
      <x:c r="C375" s="9" t="str">
        <x:v>None</x:v>
      </x:c>
      <x:c r="D375" s="9" t="str">
        <x:v>reports/hypotheses-20261021-stage5/H5-flow-ratios.json</x:v>
      </x:c>
    </x:row>
    <x:row r="376" ht="34" customHeight="1">
      <x:c r="A376" s="9" t="str">
        <x:v>H5-flow-ratios</x:v>
      </x:c>
      <x:c r="B376" s="9" t="str">
        <x:v>max_samples</x:v>
      </x:c>
      <x:c r="C376" s="9" t="str">
        <x:v>None</x:v>
      </x:c>
      <x:c r="D376" s="9" t="str">
        <x:v>reports/hypotheses-20261021-stage5/H5-flow-ratios.json</x:v>
      </x:c>
    </x:row>
    <x:row r="377" ht="34" customHeight="1">
      <x:c r="A377" s="9" t="str">
        <x:v>H5-flow-ratios</x:v>
      </x:c>
      <x:c r="B377" s="9" t="str">
        <x:v>min_impurity_decrease</x:v>
      </x:c>
      <x:c r="C377" s="9" t="n">
        <x:v>0</x:v>
      </x:c>
      <x:c r="D377" s="9" t="str">
        <x:v>reports/hypotheses-20261021-stage5/H5-flow-ratios.json</x:v>
      </x:c>
    </x:row>
    <x:row r="378" ht="34" customHeight="1">
      <x:c r="A378" s="9" t="str">
        <x:v>H5-flow-ratios</x:v>
      </x:c>
      <x:c r="B378" s="9" t="str">
        <x:v>min_samples_leaf</x:v>
      </x:c>
      <x:c r="C378" s="9" t="n">
        <x:v>2</x:v>
      </x:c>
      <x:c r="D378" s="9" t="str">
        <x:v>reports/hypotheses-20261021-stage5/H5-flow-ratios.json</x:v>
      </x:c>
    </x:row>
    <x:row r="379" ht="34" customHeight="1">
      <x:c r="A379" s="9" t="str">
        <x:v>H5-flow-ratios</x:v>
      </x:c>
      <x:c r="B379" s="9" t="str">
        <x:v>min_samples_split</x:v>
      </x:c>
      <x:c r="C379" s="9" t="n">
        <x:v>2</x:v>
      </x:c>
      <x:c r="D379" s="9" t="str">
        <x:v>reports/hypotheses-20261021-stage5/H5-flow-ratios.json</x:v>
      </x:c>
    </x:row>
    <x:row r="380" ht="34" customHeight="1">
      <x:c r="A380" s="9" t="str">
        <x:v>H5-flow-ratios</x:v>
      </x:c>
      <x:c r="B380" s="9" t="str">
        <x:v>min_weight_fraction_leaf</x:v>
      </x:c>
      <x:c r="C380" s="9" t="n">
        <x:v>0</x:v>
      </x:c>
      <x:c r="D380" s="9" t="str">
        <x:v>reports/hypotheses-20261021-stage5/H5-flow-ratios.json</x:v>
      </x:c>
    </x:row>
    <x:row r="381" ht="34" customHeight="1">
      <x:c r="A381" s="9" t="str">
        <x:v>H5-flow-ratios</x:v>
      </x:c>
      <x:c r="B381" s="9" t="str">
        <x:v>monotonic_cst</x:v>
      </x:c>
      <x:c r="C381" s="9" t="str">
        <x:v>None</x:v>
      </x:c>
      <x:c r="D381" s="9" t="str">
        <x:v>reports/hypotheses-20261021-stage5/H5-flow-ratios.json</x:v>
      </x:c>
    </x:row>
    <x:row r="382" ht="34" customHeight="1">
      <x:c r="A382" s="9" t="str">
        <x:v>H5-flow-ratios</x:v>
      </x:c>
      <x:c r="B382" s="9" t="str">
        <x:v>n_estimators</x:v>
      </x:c>
      <x:c r="C382" s="9" t="n">
        <x:v>150</x:v>
      </x:c>
      <x:c r="D382" s="9" t="str">
        <x:v>reports/hypotheses-20261021-stage5/H5-flow-ratios.json</x:v>
      </x:c>
    </x:row>
    <x:row r="383" ht="34" customHeight="1">
      <x:c r="A383" s="9" t="str">
        <x:v>H5-flow-ratios</x:v>
      </x:c>
      <x:c r="B383" s="9" t="str">
        <x:v>n_jobs</x:v>
      </x:c>
      <x:c r="C383" s="9" t="n">
        <x:v>4</x:v>
      </x:c>
      <x:c r="D383" s="9" t="str">
        <x:v>reports/hypotheses-20261021-stage5/H5-flow-ratios.json</x:v>
      </x:c>
    </x:row>
    <x:row r="384" ht="34" customHeight="1">
      <x:c r="A384" s="9" t="str">
        <x:v>H5-flow-ratios</x:v>
      </x:c>
      <x:c r="B384" s="9" t="str">
        <x:v>oob_score</x:v>
      </x:c>
      <x:c r="C384" s="18" t="b">
        <x:v>0</x:v>
      </x:c>
      <x:c r="D384" s="9" t="str">
        <x:v>reports/hypotheses-20261021-stage5/H5-flow-ratios.json</x:v>
      </x:c>
    </x:row>
    <x:row r="385" ht="34" customHeight="1">
      <x:c r="A385" s="9" t="str">
        <x:v>H5-flow-ratios</x:v>
      </x:c>
      <x:c r="B385" s="9" t="str">
        <x:v>random_state</x:v>
      </x:c>
      <x:c r="C385" s="9" t="n">
        <x:v>42</x:v>
      </x:c>
      <x:c r="D385" s="9" t="str">
        <x:v>reports/hypotheses-20261021-stage5/H5-flow-ratios.json</x:v>
      </x:c>
    </x:row>
    <x:row r="386" ht="34" customHeight="1">
      <x:c r="A386" s="9" t="str">
        <x:v>H5-flow-ratios</x:v>
      </x:c>
      <x:c r="B386" s="9" t="str">
        <x:v>verbose</x:v>
      </x:c>
      <x:c r="C386" s="9" t="n">
        <x:v>0</x:v>
      </x:c>
      <x:c r="D386" s="9" t="str">
        <x:v>reports/hypotheses-20261021-stage5/H5-flow-ratios.json</x:v>
      </x:c>
    </x:row>
    <x:row r="387" ht="34" customHeight="1">
      <x:c r="A387" s="9" t="str">
        <x:v>H5-flow-ratios</x:v>
      </x:c>
      <x:c r="B387" s="9" t="str">
        <x:v>warm_start</x:v>
      </x:c>
      <x:c r="C387" s="18" t="b">
        <x:v>0</x:v>
      </x:c>
      <x:c r="D387" s="9" t="str">
        <x:v>reports/hypotheses-20261021-stage5/H5-flow-ratios.json</x:v>
      </x:c>
    </x:row>
    <x:row r="388" ht="34" customHeight="1">
      <x:c r="A388" s="9" t="str">
        <x:v>H5-flow-ratios</x:v>
      </x:c>
      <x:c r="B388" s="9" t="str">
        <x:v>recipe.family</x:v>
      </x:c>
      <x:c r="C388" s="9" t="str">
        <x:v>forest</x:v>
      </x:c>
      <x:c r="D388" s="9" t="str">
        <x:v>reports/hypotheses-20261021-stage5/H5-flow-ratios.json</x:v>
      </x:c>
    </x:row>
    <x:row r="389" ht="34" customHeight="1">
      <x:c r="A389" s="9" t="str">
        <x:v>H5-flow-ratios</x:v>
      </x:c>
      <x:c r="B389" s="9" t="str">
        <x:v>recipe.variant</x:v>
      </x:c>
      <x:c r="C389" s="9" t="str">
        <x:v>flow_ratios</x:v>
      </x:c>
      <x:c r="D389" s="9" t="str">
        <x:v>reports/hypotheses-20261021-stage5/H5-flow-ratios.json</x:v>
      </x:c>
    </x:row>
    <x:row r="390" ht="34" customHeight="1">
      <x:c r="A390" s="9" t="str">
        <x:v>H5-flow-ratios</x:v>
      </x:c>
      <x:c r="B390" s="9" t="str">
        <x:v>split</x:v>
      </x:c>
      <x:c r="C390" s="9" t="str">
        <x:v>stratified 80/20; random_state=42</x:v>
      </x:c>
      <x:c r="D390" s="9" t="str">
        <x:v>reports/hypotheses-20261021-stage5/H5-flow-ratios.json</x:v>
      </x:c>
    </x:row>
    <x:row r="391" ht="34" customHeight="1">
      <x:c r="A391" s="9" t="str">
        <x:v>H5-flow-ratios</x:v>
      </x:c>
      <x:c r="B391" s="9" t="str">
        <x:v>seed</x:v>
      </x:c>
      <x:c r="C391" s="9" t="n">
        <x:v>42</x:v>
      </x:c>
      <x:c r="D391" s="9" t="str">
        <x:v>reports/hypotheses-20261021-stage5/H5-flow-ratios.json</x:v>
      </x:c>
    </x:row>
    <x:row r="392" ht="34" customHeight="1">
      <x:c r="A392" s="9" t="str">
        <x:v>H5-flow-ratios</x:v>
      </x:c>
      <x:c r="B392" s="9" t="str">
        <x:v>seconds (собственное время)</x:v>
      </x:c>
      <x:c r="C392" s="9" t="n">
        <x:v>90.51</x:v>
      </x:c>
      <x:c r="D392" s="9" t="str">
        <x:v>reports/hypotheses-20261021-stage5/H5-flow-ratios.json</x:v>
      </x:c>
    </x:row>
    <x:row r="393" ht="34" customHeight="1">
      <x:c r="A393" s="9" t="str">
        <x:v>H5-flow-ratios</x:v>
      </x:c>
      <x:c r="B393" s="9" t="str">
        <x:v>Примечание времени</x:v>
      </x:c>
      <x:c r="C393" s="9" t="str">
        <x:v>Полный запуск с финальным обучением, если не указано иное</x:v>
      </x:c>
      <x:c r="D393" s="9" t="str">
        <x:v>reports/hypotheses-20261021-stage5/H5-flow-ratios.json</x:v>
      </x:c>
    </x:row>
    <x:row r="394" ht="34" customHeight="1">
      <x:c r="A394" s="9" t="str">
        <x:v>H5-flow-ratios</x:v>
      </x:c>
      <x:c r="B394" s="9" t="str">
        <x:v>SHA-256 кода</x:v>
      </x:c>
      <x:c r="C394" s="9" t="str">
        <x:v>c042517deb5c06d2882d27a21e1ed4a2bdea3c40106f37781fa18fc8f6c9df8b</x:v>
      </x:c>
      <x:c r="D394" s="9" t="str">
        <x:v>reports/hypotheses-20261021-stage5/H5-flow-ratios.json</x:v>
      </x:c>
    </x:row>
    <x:row r="395" ht="34" customHeight="1">
      <x:c r="A395" s="9" t="str">
        <x:v>H5-flow-ratios</x:v>
      </x:c>
      <x:c r="B395" s="9" t="str">
        <x:v>SHA-256 train.csv</x:v>
      </x:c>
      <x:c r="C395" s="9" t="str">
        <x:v>171a8915070b7575b729a32f70a45d1ad7b6f43c65b4ce12a0a68af30d5cb4e0</x:v>
      </x:c>
      <x:c r="D395" s="9" t="str">
        <x:v>reports/hypotheses-20261021-stage5/H5-flow-ratios.json</x:v>
      </x:c>
    </x:row>
    <x:row r="396" ht="34" customHeight="1">
      <x:c r="A396" s="9" t="str">
        <x:v>H5-flow-ratios</x:v>
      </x:c>
      <x:c r="B396" s="9" t="str">
        <x:v>SHA-256 test.csv</x:v>
      </x:c>
      <x:c r="C396" s="9" t="str">
        <x:v>b825449603931b5f05a8855e3d92b57775221c93ed4730ac6b4c75b9ea608862</x:v>
      </x:c>
      <x:c r="D396" s="9" t="str">
        <x:v>reports/hypotheses-20261021-stage5/H5-flow-ratios.json</x:v>
      </x:c>
    </x:row>
    <x:row r="397" ht="34" customHeight="1">
      <x:c r="A397" s="9" t="str">
        <x:v>H5-flow-ratios</x:v>
      </x:c>
      <x:c r="B397" s="9" t="str">
        <x:v>SHA-256 sample_submission.csv</x:v>
      </x:c>
      <x:c r="C397" s="9" t="str">
        <x:v>4d23642fcff01e49b0ef5a9f018b2381c12fad97282fa586285ad49b01e9623e</x:v>
      </x:c>
      <x:c r="D397" s="9" t="str">
        <x:v>reports/hypotheses-20261021-stage5/H5-flow-ratios.json</x:v>
      </x:c>
    </x:row>
    <x:row r="398" ht="34" customHeight="1">
      <x:c r="A398" s="9" t="str">
        <x:v>R00-forest-control</x:v>
      </x:c>
      <x:c r="B398" s="9" t="str">
        <x:v>bootstrap</x:v>
      </x:c>
      <x:c r="C398" s="18" t="b">
        <x:v>1</x:v>
      </x:c>
      <x:c r="D398" s="9" t="str">
        <x:v>reports/hypotheses-20261021-stage5/R00-forest-control.json</x:v>
      </x:c>
    </x:row>
    <x:row r="399" ht="34" customHeight="1">
      <x:c r="A399" s="9" t="str">
        <x:v>R00-forest-control</x:v>
      </x:c>
      <x:c r="B399" s="9" t="str">
        <x:v>ccp_alpha</x:v>
      </x:c>
      <x:c r="C399" s="9" t="n">
        <x:v>0</x:v>
      </x:c>
      <x:c r="D399" s="9" t="str">
        <x:v>reports/hypotheses-20261021-stage5/R00-forest-control.json</x:v>
      </x:c>
    </x:row>
    <x:row r="400" ht="34" customHeight="1">
      <x:c r="A400" s="9" t="str">
        <x:v>R00-forest-control</x:v>
      </x:c>
      <x:c r="B400" s="9" t="str">
        <x:v>criterion</x:v>
      </x:c>
      <x:c r="C400" s="9" t="str">
        <x:v>squared_error</x:v>
      </x:c>
      <x:c r="D400" s="9" t="str">
        <x:v>reports/hypotheses-20261021-stage5/R00-forest-control.json</x:v>
      </x:c>
    </x:row>
    <x:row r="401" ht="34" customHeight="1">
      <x:c r="A401" s="9" t="str">
        <x:v>R00-forest-control</x:v>
      </x:c>
      <x:c r="B401" s="9" t="str">
        <x:v>max_depth</x:v>
      </x:c>
      <x:c r="C401" s="9" t="n">
        <x:v>20</x:v>
      </x:c>
      <x:c r="D401" s="9" t="str">
        <x:v>reports/hypotheses-20261021-stage5/R00-forest-control.json</x:v>
      </x:c>
    </x:row>
    <x:row r="402" ht="34" customHeight="1">
      <x:c r="A402" s="9" t="str">
        <x:v>R00-forest-control</x:v>
      </x:c>
      <x:c r="B402" s="9" t="str">
        <x:v>max_features</x:v>
      </x:c>
      <x:c r="C402" s="9" t="n">
        <x:v>0.8</x:v>
      </x:c>
      <x:c r="D402" s="9" t="str">
        <x:v>reports/hypotheses-20261021-stage5/R00-forest-control.json</x:v>
      </x:c>
    </x:row>
    <x:row r="403" ht="34" customHeight="1">
      <x:c r="A403" s="9" t="str">
        <x:v>R00-forest-control</x:v>
      </x:c>
      <x:c r="B403" s="9" t="str">
        <x:v>max_leaf_nodes</x:v>
      </x:c>
      <x:c r="C403" s="9" t="str">
        <x:v>None</x:v>
      </x:c>
      <x:c r="D403" s="9" t="str">
        <x:v>reports/hypotheses-20261021-stage5/R00-forest-control.json</x:v>
      </x:c>
    </x:row>
    <x:row r="404" ht="34" customHeight="1">
      <x:c r="A404" s="9" t="str">
        <x:v>R00-forest-control</x:v>
      </x:c>
      <x:c r="B404" s="9" t="str">
        <x:v>max_samples</x:v>
      </x:c>
      <x:c r="C404" s="9" t="str">
        <x:v>None</x:v>
      </x:c>
      <x:c r="D404" s="9" t="str">
        <x:v>reports/hypotheses-20261021-stage5/R00-forest-control.json</x:v>
      </x:c>
    </x:row>
    <x:row r="405" ht="34" customHeight="1">
      <x:c r="A405" s="9" t="str">
        <x:v>R00-forest-control</x:v>
      </x:c>
      <x:c r="B405" s="9" t="str">
        <x:v>min_impurity_decrease</x:v>
      </x:c>
      <x:c r="C405" s="9" t="n">
        <x:v>0</x:v>
      </x:c>
      <x:c r="D405" s="9" t="str">
        <x:v>reports/hypotheses-20261021-stage5/R00-forest-control.json</x:v>
      </x:c>
    </x:row>
    <x:row r="406" ht="34" customHeight="1">
      <x:c r="A406" s="9" t="str">
        <x:v>R00-forest-control</x:v>
      </x:c>
      <x:c r="B406" s="9" t="str">
        <x:v>min_samples_leaf</x:v>
      </x:c>
      <x:c r="C406" s="9" t="n">
        <x:v>2</x:v>
      </x:c>
      <x:c r="D406" s="9" t="str">
        <x:v>reports/hypotheses-20261021-stage5/R00-forest-control.json</x:v>
      </x:c>
    </x:row>
    <x:row r="407" ht="34" customHeight="1">
      <x:c r="A407" s="9" t="str">
        <x:v>R00-forest-control</x:v>
      </x:c>
      <x:c r="B407" s="9" t="str">
        <x:v>min_samples_split</x:v>
      </x:c>
      <x:c r="C407" s="9" t="n">
        <x:v>2</x:v>
      </x:c>
      <x:c r="D407" s="9" t="str">
        <x:v>reports/hypotheses-20261021-stage5/R00-forest-control.json</x:v>
      </x:c>
    </x:row>
    <x:row r="408" ht="34" customHeight="1">
      <x:c r="A408" s="9" t="str">
        <x:v>R00-forest-control</x:v>
      </x:c>
      <x:c r="B408" s="9" t="str">
        <x:v>min_weight_fraction_leaf</x:v>
      </x:c>
      <x:c r="C408" s="9" t="n">
        <x:v>0</x:v>
      </x:c>
      <x:c r="D408" s="9" t="str">
        <x:v>reports/hypotheses-20261021-stage5/R00-forest-control.json</x:v>
      </x:c>
    </x:row>
    <x:row r="409" ht="34" customHeight="1">
      <x:c r="A409" s="9" t="str">
        <x:v>R00-forest-control</x:v>
      </x:c>
      <x:c r="B409" s="9" t="str">
        <x:v>monotonic_cst</x:v>
      </x:c>
      <x:c r="C409" s="9" t="str">
        <x:v>None</x:v>
      </x:c>
      <x:c r="D409" s="9" t="str">
        <x:v>reports/hypotheses-20261021-stage5/R00-forest-control.json</x:v>
      </x:c>
    </x:row>
    <x:row r="410" ht="34" customHeight="1">
      <x:c r="A410" s="9" t="str">
        <x:v>R00-forest-control</x:v>
      </x:c>
      <x:c r="B410" s="9" t="str">
        <x:v>n_estimators</x:v>
      </x:c>
      <x:c r="C410" s="9" t="n">
        <x:v>150</x:v>
      </x:c>
      <x:c r="D410" s="9" t="str">
        <x:v>reports/hypotheses-20261021-stage5/R00-forest-control.json</x:v>
      </x:c>
    </x:row>
    <x:row r="411" ht="34" customHeight="1">
      <x:c r="A411" s="9" t="str">
        <x:v>R00-forest-control</x:v>
      </x:c>
      <x:c r="B411" s="9" t="str">
        <x:v>n_jobs</x:v>
      </x:c>
      <x:c r="C411" s="9" t="n">
        <x:v>4</x:v>
      </x:c>
      <x:c r="D411" s="9" t="str">
        <x:v>reports/hypotheses-20261021-stage5/R00-forest-control.json</x:v>
      </x:c>
    </x:row>
    <x:row r="412" ht="34" customHeight="1">
      <x:c r="A412" s="9" t="str">
        <x:v>R00-forest-control</x:v>
      </x:c>
      <x:c r="B412" s="9" t="str">
        <x:v>oob_score</x:v>
      </x:c>
      <x:c r="C412" s="18" t="b">
        <x:v>0</x:v>
      </x:c>
      <x:c r="D412" s="9" t="str">
        <x:v>reports/hypotheses-20261021-stage5/R00-forest-control.json</x:v>
      </x:c>
    </x:row>
    <x:row r="413" ht="34" customHeight="1">
      <x:c r="A413" s="9" t="str">
        <x:v>R00-forest-control</x:v>
      </x:c>
      <x:c r="B413" s="9" t="str">
        <x:v>random_state</x:v>
      </x:c>
      <x:c r="C413" s="9" t="n">
        <x:v>42</x:v>
      </x:c>
      <x:c r="D413" s="9" t="str">
        <x:v>reports/hypotheses-20261021-stage5/R00-forest-control.json</x:v>
      </x:c>
    </x:row>
    <x:row r="414" ht="34" customHeight="1">
      <x:c r="A414" s="9" t="str">
        <x:v>R00-forest-control</x:v>
      </x:c>
      <x:c r="B414" s="9" t="str">
        <x:v>verbose</x:v>
      </x:c>
      <x:c r="C414" s="9" t="n">
        <x:v>0</x:v>
      </x:c>
      <x:c r="D414" s="9" t="str">
        <x:v>reports/hypotheses-20261021-stage5/R00-forest-control.json</x:v>
      </x:c>
    </x:row>
    <x:row r="415" ht="34" customHeight="1">
      <x:c r="A415" s="9" t="str">
        <x:v>R00-forest-control</x:v>
      </x:c>
      <x:c r="B415" s="9" t="str">
        <x:v>warm_start</x:v>
      </x:c>
      <x:c r="C415" s="18" t="b">
        <x:v>0</x:v>
      </x:c>
      <x:c r="D415" s="9" t="str">
        <x:v>reports/hypotheses-20261021-stage5/R00-forest-control.json</x:v>
      </x:c>
    </x:row>
    <x:row r="416" ht="34" customHeight="1">
      <x:c r="A416" s="9" t="str">
        <x:v>R00-forest-control</x:v>
      </x:c>
      <x:c r="B416" s="9" t="str">
        <x:v>recipe.family</x:v>
      </x:c>
      <x:c r="C416" s="9" t="str">
        <x:v>forest</x:v>
      </x:c>
      <x:c r="D416" s="9" t="str">
        <x:v>reports/hypotheses-20261021-stage5/R00-forest-control.json</x:v>
      </x:c>
    </x:row>
    <x:row r="417" ht="34" customHeight="1">
      <x:c r="A417" s="9" t="str">
        <x:v>R00-forest-control</x:v>
      </x:c>
      <x:c r="B417" s="9" t="str">
        <x:v>recipe.variant</x:v>
      </x:c>
      <x:c r="C417" s="9" t="str">
        <x:v>plain</x:v>
      </x:c>
      <x:c r="D417" s="9" t="str">
        <x:v>reports/hypotheses-20261021-stage5/R00-forest-control.json</x:v>
      </x:c>
    </x:row>
    <x:row r="418" ht="34" customHeight="1">
      <x:c r="A418" s="9" t="str">
        <x:v>R00-forest-control</x:v>
      </x:c>
      <x:c r="B418" s="9" t="str">
        <x:v>split</x:v>
      </x:c>
      <x:c r="C418" s="9" t="str">
        <x:v>Year_Factor &lt; 5 train; == 5 validation</x:v>
      </x:c>
      <x:c r="D418" s="9" t="str">
        <x:v>reports/hypotheses-20261021-stage5/R00-forest-control.json</x:v>
      </x:c>
    </x:row>
    <x:row r="419" ht="34" customHeight="1">
      <x:c r="A419" s="9" t="str">
        <x:v>R00-forest-control</x:v>
      </x:c>
      <x:c r="B419" s="9" t="str">
        <x:v>seed</x:v>
      </x:c>
      <x:c r="C419" s="9" t="n">
        <x:v>42</x:v>
      </x:c>
      <x:c r="D419" s="9" t="str">
        <x:v>reports/hypotheses-20261021-stage5/R00-forest-control.json</x:v>
      </x:c>
    </x:row>
    <x:row r="420" ht="34" customHeight="1">
      <x:c r="A420" s="9" t="str">
        <x:v>R00-forest-control</x:v>
      </x:c>
      <x:c r="B420" s="9" t="str">
        <x:v>seconds (собственное время)</x:v>
      </x:c>
      <x:c r="C420" s="9" t="n">
        <x:v>18.4</x:v>
      </x:c>
      <x:c r="D420" s="9" t="str">
        <x:v>reports/hypotheses-20261021-stage5/R00-forest-control.json</x:v>
      </x:c>
    </x:row>
    <x:row r="421" ht="34" customHeight="1">
      <x:c r="A421" s="9" t="str">
        <x:v>R00-forest-control</x:v>
      </x:c>
      <x:c r="B421" s="9" t="str">
        <x:v>Примечание времени</x:v>
      </x:c>
      <x:c r="C421" s="9" t="str">
        <x:v>Полный запуск с финальным обучением, если не указано иное</x:v>
      </x:c>
      <x:c r="D421" s="9" t="str">
        <x:v>reports/hypotheses-20261021-stage5/R00-forest-control.json</x:v>
      </x:c>
    </x:row>
    <x:row r="422" ht="34" customHeight="1">
      <x:c r="A422" s="9" t="str">
        <x:v>R00-forest-control</x:v>
      </x:c>
      <x:c r="B422" s="9" t="str">
        <x:v>SHA-256 кода</x:v>
      </x:c>
      <x:c r="C422" s="9" t="str">
        <x:v>c042517deb5c06d2882d27a21e1ed4a2bdea3c40106f37781fa18fc8f6c9df8b</x:v>
      </x:c>
      <x:c r="D422" s="9" t="str">
        <x:v>reports/hypotheses-20261021-stage5/R00-forest-control.json</x:v>
      </x:c>
    </x:row>
    <x:row r="423" ht="34" customHeight="1">
      <x:c r="A423" s="9" t="str">
        <x:v>R00-forest-control</x:v>
      </x:c>
      <x:c r="B423" s="9" t="str">
        <x:v>SHA-256 train.csv</x:v>
      </x:c>
      <x:c r="C423" s="9" t="str">
        <x:v>096dac951cf44fade5417ddd0465c41beee3009663dbea34e8d464a4d3c7f775</x:v>
      </x:c>
      <x:c r="D423" s="9" t="str">
        <x:v>reports/hypotheses-20261021-stage5/R00-forest-control.json</x:v>
      </x:c>
    </x:row>
    <x:row r="424" ht="34" customHeight="1">
      <x:c r="A424" s="9" t="str">
        <x:v>R00-forest-control</x:v>
      </x:c>
      <x:c r="B424" s="9" t="str">
        <x:v>SHA-256 test.csv</x:v>
      </x:c>
      <x:c r="C424" s="9" t="str">
        <x:v>a7c64db92a07e1a5b1e7f637bdd434da7a5e98a1676c854ec6a645c9e5827095</x:v>
      </x:c>
      <x:c r="D424" s="9" t="str">
        <x:v>reports/hypotheses-20261021-stage5/R00-forest-control.json</x:v>
      </x:c>
    </x:row>
    <x:row r="425" ht="34" customHeight="1">
      <x:c r="A425" s="9" t="str">
        <x:v>R00-forest-control</x:v>
      </x:c>
      <x:c r="B425" s="9" t="str">
        <x:v>SHA-256 sample_submission.csv</x:v>
      </x:c>
      <x:c r="C425" s="9" t="str">
        <x:v>0016b18d58c47bbbe842556b4957ba215b3ad50121c9923260537d936a09eae1</x:v>
      </x:c>
      <x:c r="D425" s="9" t="str">
        <x:v>reports/hypotheses-20261021-stage5/R00-forest-control.json</x:v>
      </x:c>
    </x:row>
    <x:row r="426" ht="34" customHeight="1">
      <x:c r="A426" s="9" t="str">
        <x:v>H6-ensemble-regression</x:v>
      </x:c>
      <x:c r="B426" s="9" t="str">
        <x:v>equal_weights</x:v>
      </x:c>
      <x:c r="C426" s="9" t="str">
        <x:v>[0.5,0.5]</x:v>
      </x:c>
      <x:c r="D426" s="9" t="str">
        <x:v>reports/hypotheses-20261021-stage5/H6-ensemble-regression.json</x:v>
      </x:c>
    </x:row>
    <x:row r="427" ht="34" customHeight="1">
      <x:c r="A427" s="9" t="str">
        <x:v>H6-ensemble-regression</x:v>
      </x:c>
      <x:c r="B427" s="9" t="str">
        <x:v>members</x:v>
      </x:c>
      <x:c r="C427" s="9" t="str">
        <x:v>["R00-forest-control","R00-catboost-control"]</x:v>
      </x:c>
      <x:c r="D427" s="9" t="str">
        <x:v>reports/hypotheses-20261021-stage5/H6-ensemble-regression.json</x:v>
      </x:c>
    </x:row>
    <x:row r="428" ht="34" customHeight="1">
      <x:c r="A428" s="9" t="str">
        <x:v>H6-ensemble-regression</x:v>
      </x:c>
      <x:c r="B428" s="9" t="str">
        <x:v>recipe.family</x:v>
      </x:c>
      <x:c r="C428" s="9" t="str">
        <x:v>ensemble</x:v>
      </x:c>
      <x:c r="D428" s="9" t="str">
        <x:v>reports/hypotheses-20261021-stage5/H6-ensemble-regression.json</x:v>
      </x:c>
    </x:row>
    <x:row r="429" ht="34" customHeight="1">
      <x:c r="A429" s="9" t="str">
        <x:v>H6-ensemble-regression</x:v>
      </x:c>
      <x:c r="B429" s="9" t="str">
        <x:v>recipe.variant</x:v>
      </x:c>
      <x:c r="C429" s="9" t="str">
        <x:v>plain</x:v>
      </x:c>
      <x:c r="D429" s="9" t="str">
        <x:v>reports/hypotheses-20261021-stage5/H6-ensemble-regression.json</x:v>
      </x:c>
    </x:row>
    <x:row r="430" ht="34" customHeight="1">
      <x:c r="A430" s="9" t="str">
        <x:v>H6-ensemble-regression</x:v>
      </x:c>
      <x:c r="B430" s="9" t="str">
        <x:v>split</x:v>
      </x:c>
      <x:c r="C430" s="9" t="str">
        <x:v>Year_Factor &lt; 5 train; == 5 validation</x:v>
      </x:c>
      <x:c r="D430" s="9" t="str">
        <x:v>reports/hypotheses-20261021-stage5/H6-ensemble-regression.json</x:v>
      </x:c>
    </x:row>
    <x:row r="431" ht="34" customHeight="1">
      <x:c r="A431" s="9" t="str">
        <x:v>H6-ensemble-regression</x:v>
      </x:c>
      <x:c r="B431" s="9" t="str">
        <x:v>seed</x:v>
      </x:c>
      <x:c r="C431" s="9" t="n">
        <x:v>42</x:v>
      </x:c>
      <x:c r="D431" s="9" t="str">
        <x:v>reports/hypotheses-20261021-stage5/H6-ensemble-regression.json</x:v>
      </x:c>
    </x:row>
    <x:row r="432" ht="34" customHeight="1">
      <x:c r="A432" s="9" t="str">
        <x:v>H6-ensemble-regression</x:v>
      </x:c>
      <x:c r="B432" s="9" t="str">
        <x:v>seconds (собственное время)</x:v>
      </x:c>
      <x:c r="C432" s="9" t="n">
        <x:v>0.05</x:v>
      </x:c>
      <x:c r="D432" s="9" t="str">
        <x:v>reports/hypotheses-20261021-stage5/H6-ensemble-regression.json</x:v>
      </x:c>
    </x:row>
    <x:row r="433" ht="34" customHeight="1">
      <x:c r="A433" s="9" t="str">
        <x:v>H6-ensemble-regression</x:v>
      </x:c>
      <x:c r="B433" s="9" t="str">
        <x:v>Примечание времени</x:v>
      </x:c>
      <x:c r="C433" s="9" t="str">
        <x:v>Время усреднения; полная оценка стоимости включает компоненты</x:v>
      </x:c>
      <x:c r="D433" s="9" t="str">
        <x:v>reports/hypotheses-20261021-stage5/H6-ensemble-regression.json</x:v>
      </x:c>
    </x:row>
    <x:row r="434" ht="34" customHeight="1">
      <x:c r="A434" s="9" t="str">
        <x:v>H6-ensemble-regression</x:v>
      </x:c>
      <x:c r="B434" s="9" t="str">
        <x:v>SHA-256 кода</x:v>
      </x:c>
      <x:c r="C434" s="9" t="str">
        <x:v>c042517deb5c06d2882d27a21e1ed4a2bdea3c40106f37781fa18fc8f6c9df8b</x:v>
      </x:c>
      <x:c r="D434" s="9" t="str">
        <x:v>reports/hypotheses-20261021-stage5/H6-ensemble-regression.json</x:v>
      </x:c>
    </x:row>
    <x:row r="435" ht="34" customHeight="1">
      <x:c r="A435" s="9" t="str">
        <x:v>H6-ensemble-regression</x:v>
      </x:c>
      <x:c r="B435" s="9" t="str">
        <x:v>SHA-256 train.csv</x:v>
      </x:c>
      <x:c r="C435" s="9" t="str">
        <x:v>096dac951cf44fade5417ddd0465c41beee3009663dbea34e8d464a4d3c7f775</x:v>
      </x:c>
      <x:c r="D435" s="9" t="str">
        <x:v>reports/hypotheses-20261021-stage5/H6-ensemble-regression.json</x:v>
      </x:c>
    </x:row>
    <x:row r="436" ht="34" customHeight="1">
      <x:c r="A436" s="9" t="str">
        <x:v>H6-ensemble-regression</x:v>
      </x:c>
      <x:c r="B436" s="9" t="str">
        <x:v>SHA-256 test.csv</x:v>
      </x:c>
      <x:c r="C436" s="9" t="str">
        <x:v>a7c64db92a07e1a5b1e7f637bdd434da7a5e98a1676c854ec6a645c9e5827095</x:v>
      </x:c>
      <x:c r="D436" s="9" t="str">
        <x:v>reports/hypotheses-20261021-stage5/H6-ensemble-regression.json</x:v>
      </x:c>
    </x:row>
    <x:row r="437" ht="34" customHeight="1">
      <x:c r="A437" s="9" t="str">
        <x:v>H6-ensemble-regression</x:v>
      </x:c>
      <x:c r="B437" s="9" t="str">
        <x:v>SHA-256 sample_submission.csv</x:v>
      </x:c>
      <x:c r="C437" s="9" t="str">
        <x:v>0016b18d58c47bbbe842556b4957ba215b3ad50121c9923260537d936a09eae1</x:v>
      </x:c>
      <x:c r="D437" s="9" t="str">
        <x:v>reports/hypotheses-20261021-stage5/H6-ensemble-regression.json</x:v>
      </x:c>
    </x:row>
    <x:row r="438" ht="34" customHeight="1">
      <x:c r="A438" s="9" t="str">
        <x:v>H6-ensemble-multiclass</x:v>
      </x:c>
      <x:c r="B438" s="9" t="str">
        <x:v>equal_weights</x:v>
      </x:c>
      <x:c r="C438" s="9" t="str">
        <x:v>[0.5,0.5]</x:v>
      </x:c>
      <x:c r="D438" s="9" t="str">
        <x:v>reports/hypotheses-20261021-stage5/H6-ensemble-multiclass.json</x:v>
      </x:c>
    </x:row>
    <x:row r="439" ht="34" customHeight="1">
      <x:c r="A439" s="9" t="str">
        <x:v>H6-ensemble-multiclass</x:v>
      </x:c>
      <x:c r="B439" s="9" t="str">
        <x:v>members</x:v>
      </x:c>
      <x:c r="C439" s="9" t="str">
        <x:v>["C00-forest-control","C00-catboost-control"]</x:v>
      </x:c>
      <x:c r="D439" s="9" t="str">
        <x:v>reports/hypotheses-20261021-stage5/H6-ensemble-multiclass.json</x:v>
      </x:c>
    </x:row>
    <x:row r="440" ht="34" customHeight="1">
      <x:c r="A440" s="9" t="str">
        <x:v>H6-ensemble-multiclass</x:v>
      </x:c>
      <x:c r="B440" s="9" t="str">
        <x:v>recipe.family</x:v>
      </x:c>
      <x:c r="C440" s="9" t="str">
        <x:v>ensemble</x:v>
      </x:c>
      <x:c r="D440" s="9" t="str">
        <x:v>reports/hypotheses-20261021-stage5/H6-ensemble-multiclass.json</x:v>
      </x:c>
    </x:row>
    <x:row r="441" ht="34" customHeight="1">
      <x:c r="A441" s="9" t="str">
        <x:v>H6-ensemble-multiclass</x:v>
      </x:c>
      <x:c r="B441" s="9" t="str">
        <x:v>recipe.variant</x:v>
      </x:c>
      <x:c r="C441" s="9" t="str">
        <x:v>plain</x:v>
      </x:c>
      <x:c r="D441" s="9" t="str">
        <x:v>reports/hypotheses-20261021-stage5/H6-ensemble-multiclass.json</x:v>
      </x:c>
    </x:row>
    <x:row r="442" ht="34" customHeight="1">
      <x:c r="A442" s="9" t="str">
        <x:v>H6-ensemble-multiclass</x:v>
      </x:c>
      <x:c r="B442" s="9" t="str">
        <x:v>split</x:v>
      </x:c>
      <x:c r="C442" s="9" t="str">
        <x:v>stratified 80/20; random_state=42</x:v>
      </x:c>
      <x:c r="D442" s="9" t="str">
        <x:v>reports/hypotheses-20261021-stage5/H6-ensemble-multiclass.json</x:v>
      </x:c>
    </x:row>
    <x:row r="443" ht="34" customHeight="1">
      <x:c r="A443" s="9" t="str">
        <x:v>H6-ensemble-multiclass</x:v>
      </x:c>
      <x:c r="B443" s="9" t="str">
        <x:v>seed</x:v>
      </x:c>
      <x:c r="C443" s="9" t="n">
        <x:v>42</x:v>
      </x:c>
      <x:c r="D443" s="9" t="str">
        <x:v>reports/hypotheses-20261021-stage5/H6-ensemble-multiclass.json</x:v>
      </x:c>
    </x:row>
    <x:row r="444" ht="34" customHeight="1">
      <x:c r="A444" s="9" t="str">
        <x:v>H6-ensemble-multiclass</x:v>
      </x:c>
      <x:c r="B444" s="9" t="str">
        <x:v>seconds (собственное время)</x:v>
      </x:c>
      <x:c r="C444" s="9" t="n">
        <x:v>0.47</x:v>
      </x:c>
      <x:c r="D444" s="9" t="str">
        <x:v>reports/hypotheses-20261021-stage5/H6-ensemble-multiclass.json</x:v>
      </x:c>
    </x:row>
    <x:row r="445" ht="34" customHeight="1">
      <x:c r="A445" s="9" t="str">
        <x:v>H6-ensemble-multiclass</x:v>
      </x:c>
      <x:c r="B445" s="9" t="str">
        <x:v>Примечание времени</x:v>
      </x:c>
      <x:c r="C445" s="9" t="str">
        <x:v>Время усреднения; полная оценка стоимости включает компоненты</x:v>
      </x:c>
      <x:c r="D445" s="9" t="str">
        <x:v>reports/hypotheses-20261021-stage5/H6-ensemble-multiclass.json</x:v>
      </x:c>
    </x:row>
    <x:row r="446" ht="34" customHeight="1">
      <x:c r="A446" s="9" t="str">
        <x:v>H6-ensemble-multiclass</x:v>
      </x:c>
      <x:c r="B446" s="9" t="str">
        <x:v>SHA-256 кода</x:v>
      </x:c>
      <x:c r="C446" s="9" t="str">
        <x:v>c042517deb5c06d2882d27a21e1ed4a2bdea3c40106f37781fa18fc8f6c9df8b</x:v>
      </x:c>
      <x:c r="D446" s="9" t="str">
        <x:v>reports/hypotheses-20261021-stage5/H6-ensemble-multiclass.json</x:v>
      </x:c>
    </x:row>
    <x:row r="447" ht="34" customHeight="1">
      <x:c r="A447" s="9" t="str">
        <x:v>H6-ensemble-multiclass</x:v>
      </x:c>
      <x:c r="B447" s="9" t="str">
        <x:v>SHA-256 train.csv</x:v>
      </x:c>
      <x:c r="C447" s="9" t="str">
        <x:v>171a8915070b7575b729a32f70a45d1ad7b6f43c65b4ce12a0a68af30d5cb4e0</x:v>
      </x:c>
      <x:c r="D447" s="9" t="str">
        <x:v>reports/hypotheses-20261021-stage5/H6-ensemble-multiclass.json</x:v>
      </x:c>
    </x:row>
    <x:row r="448" ht="34" customHeight="1">
      <x:c r="A448" s="9" t="str">
        <x:v>H6-ensemble-multiclass</x:v>
      </x:c>
      <x:c r="B448" s="9" t="str">
        <x:v>SHA-256 test.csv</x:v>
      </x:c>
      <x:c r="C448" s="9" t="str">
        <x:v>b825449603931b5f05a8855e3d92b57775221c93ed4730ac6b4c75b9ea608862</x:v>
      </x:c>
      <x:c r="D448" s="9" t="str">
        <x:v>reports/hypotheses-20261021-stage5/H6-ensemble-multiclass.json</x:v>
      </x:c>
    </x:row>
    <x:row r="449" ht="34" customHeight="1">
      <x:c r="A449" s="9" t="str">
        <x:v>H6-ensemble-multiclass</x:v>
      </x:c>
      <x:c r="B449" s="9" t="str">
        <x:v>SHA-256 sample_submission.csv</x:v>
      </x:c>
      <x:c r="C449" s="9" t="str">
        <x:v>4d23642fcff01e49b0ef5a9f018b2381c12fad97282fa586285ad49b01e9623e</x:v>
      </x:c>
      <x:c r="D449" s="9" t="str">
        <x:v>reports/hypotheses-20261021-stage5/H6-ensemble-multiclass.json</x:v>
      </x:c>
    </x:row>
    <x:row r="450" ht="34" customHeight="1">
      <x:c r="A450" s="9" t="str">
        <x:v>S-regression-control</x:v>
      </x:c>
      <x:c r="B450" s="9" t="str">
        <x:v>iterations</x:v>
      </x:c>
      <x:c r="C450" s="9" t="n">
        <x:v>500</x:v>
      </x:c>
      <x:c r="D450" s="9" t="str">
        <x:v>reports/hypotheses-20261021-stage5/S-regression-control.json</x:v>
      </x:c>
    </x:row>
    <x:row r="451" ht="34" customHeight="1">
      <x:c r="A451" s="9" t="str">
        <x:v>S-regression-control</x:v>
      </x:c>
      <x:c r="B451" s="9" t="str">
        <x:v>learning_rate</x:v>
      </x:c>
      <x:c r="C451" s="9" t="n">
        <x:v>0.05</x:v>
      </x:c>
      <x:c r="D451" s="9" t="str">
        <x:v>reports/hypotheses-20261021-stage5/S-regression-control.json</x:v>
      </x:c>
    </x:row>
    <x:row r="452" ht="34" customHeight="1">
      <x:c r="A452" s="9" t="str">
        <x:v>S-regression-control</x:v>
      </x:c>
      <x:c r="B452" s="9" t="str">
        <x:v>depth</x:v>
      </x:c>
      <x:c r="C452" s="9" t="n">
        <x:v>6</x:v>
      </x:c>
      <x:c r="D452" s="9" t="str">
        <x:v>reports/hypotheses-20261021-stage5/S-regression-control.json</x:v>
      </x:c>
    </x:row>
    <x:row r="453" ht="34" customHeight="1">
      <x:c r="A453" s="9" t="str">
        <x:v>S-regression-control</x:v>
      </x:c>
      <x:c r="B453" s="9" t="str">
        <x:v>l2_leaf_reg</x:v>
      </x:c>
      <x:c r="C453" s="9" t="n">
        <x:v>3</x:v>
      </x:c>
      <x:c r="D453" s="9" t="str">
        <x:v>reports/hypotheses-20261021-stage5/S-regression-control.json</x:v>
      </x:c>
    </x:row>
    <x:row r="454" ht="34" customHeight="1">
      <x:c r="A454" s="9" t="str">
        <x:v>S-regression-control</x:v>
      </x:c>
      <x:c r="B454" s="9" t="str">
        <x:v>loss_function</x:v>
      </x:c>
      <x:c r="C454" s="9" t="str">
        <x:v>RMSE</x:v>
      </x:c>
      <x:c r="D454" s="9" t="str">
        <x:v>reports/hypotheses-20261021-stage5/S-regression-control.json</x:v>
      </x:c>
    </x:row>
    <x:row r="455" ht="34" customHeight="1">
      <x:c r="A455" s="9" t="str">
        <x:v>S-regression-control</x:v>
      </x:c>
      <x:c r="B455" s="9" t="str">
        <x:v>thread_count</x:v>
      </x:c>
      <x:c r="C455" s="9" t="n">
        <x:v>4</x:v>
      </x:c>
      <x:c r="D455" s="9" t="str">
        <x:v>reports/hypotheses-20261021-stage5/S-regression-control.json</x:v>
      </x:c>
    </x:row>
    <x:row r="456" ht="34" customHeight="1">
      <x:c r="A456" s="9" t="str">
        <x:v>S-regression-control</x:v>
      </x:c>
      <x:c r="B456" s="9" t="str">
        <x:v>random_seed</x:v>
      </x:c>
      <x:c r="C456" s="9" t="n">
        <x:v>42</x:v>
      </x:c>
      <x:c r="D456" s="9" t="str">
        <x:v>reports/hypotheses-20261021-stage5/S-regression-control.json</x:v>
      </x:c>
    </x:row>
    <x:row r="457" ht="34" customHeight="1">
      <x:c r="A457" s="9" t="str">
        <x:v>S-regression-control</x:v>
      </x:c>
      <x:c r="B457" s="9" t="str">
        <x:v>verbose</x:v>
      </x:c>
      <x:c r="C457" s="18" t="b">
        <x:v>0</x:v>
      </x:c>
      <x:c r="D457" s="9" t="str">
        <x:v>reports/hypotheses-20261021-stage5/S-regression-control.json</x:v>
      </x:c>
    </x:row>
    <x:row r="458" ht="34" customHeight="1">
      <x:c r="A458" s="9" t="str">
        <x:v>S-regression-control</x:v>
      </x:c>
      <x:c r="B458" s="9" t="str">
        <x:v>allow_writing_files</x:v>
      </x:c>
      <x:c r="C458" s="18" t="b">
        <x:v>0</x:v>
      </x:c>
      <x:c r="D458" s="9" t="str">
        <x:v>reports/hypotheses-20261021-stage5/S-regression-control.json</x:v>
      </x:c>
    </x:row>
    <x:row r="459" ht="34" customHeight="1">
      <x:c r="A459" s="9" t="str">
        <x:v>S-regression-control</x:v>
      </x:c>
      <x:c r="B459" s="9" t="str">
        <x:v>recipe.family</x:v>
      </x:c>
      <x:c r="C459" s="9" t="str">
        <x:v>catboost</x:v>
      </x:c>
      <x:c r="D459" s="9" t="str">
        <x:v>reports/hypotheses-20261021-stage5/S-regression-control.json</x:v>
      </x:c>
    </x:row>
    <x:row r="460" ht="34" customHeight="1">
      <x:c r="A460" s="9" t="str">
        <x:v>S-regression-control</x:v>
      </x:c>
      <x:c r="B460" s="9" t="str">
        <x:v>recipe.variant</x:v>
      </x:c>
      <x:c r="C460" s="9" t="str">
        <x:v>plain</x:v>
      </x:c>
      <x:c r="D460" s="9" t="str">
        <x:v>reports/hypotheses-20261021-stage5/S-regression-control.json</x:v>
      </x:c>
    </x:row>
    <x:row r="461" ht="34" customHeight="1">
      <x:c r="A461" s="9" t="str">
        <x:v>S-regression-control</x:v>
      </x:c>
      <x:c r="B461" s="9" t="str">
        <x:v>split</x:v>
      </x:c>
      <x:c r="C461" s="9" t="str">
        <x:v>Year_Factor &lt; 4 train; == 4 validation</x:v>
      </x:c>
      <x:c r="D461" s="9" t="str">
        <x:v>reports/hypotheses-20261021-stage5/S-regression-control.json</x:v>
      </x:c>
    </x:row>
    <x:row r="462" ht="34" customHeight="1">
      <x:c r="A462" s="9" t="str">
        <x:v>S-regression-control</x:v>
      </x:c>
      <x:c r="B462" s="9" t="str">
        <x:v>seed</x:v>
      </x:c>
      <x:c r="C462" s="9" t="n">
        <x:v>42</x:v>
      </x:c>
      <x:c r="D462" s="9" t="str">
        <x:v>reports/hypotheses-20261021-stage5/S-regression-control.json</x:v>
      </x:c>
    </x:row>
    <x:row r="463" ht="34" customHeight="1">
      <x:c r="A463" s="9" t="str">
        <x:v>S-regression-control</x:v>
      </x:c>
      <x:c r="B463" s="9" t="str">
        <x:v>seconds (собственное время)</x:v>
      </x:c>
      <x:c r="C463" s="9" t="n">
        <x:v>1.8</x:v>
      </x:c>
      <x:c r="D463" s="9" t="str">
        <x:v>reports/hypotheses-20261021-stage5/S-regression-control.json</x:v>
      </x:c>
    </x:row>
    <x:row r="464" ht="34" customHeight="1">
      <x:c r="A464" s="9" t="str">
        <x:v>S-regression-control</x:v>
      </x:c>
      <x:c r="B464" s="9" t="str">
        <x:v>Примечание времени</x:v>
      </x:c>
      <x:c r="C464" s="9" t="str">
        <x:v>Весь запуск; дополнительная проверка без финального обучения</x:v>
      </x:c>
      <x:c r="D464" s="9" t="str">
        <x:v>reports/hypotheses-20261021-stage5/S-regression-control.json</x:v>
      </x:c>
    </x:row>
    <x:row r="465" ht="34" customHeight="1">
      <x:c r="A465" s="9" t="str">
        <x:v>S-regression-control</x:v>
      </x:c>
      <x:c r="B465" s="9" t="str">
        <x:v>SHA-256 кода</x:v>
      </x:c>
      <x:c r="C465" s="9" t="str">
        <x:v>c042517deb5c06d2882d27a21e1ed4a2bdea3c40106f37781fa18fc8f6c9df8b</x:v>
      </x:c>
      <x:c r="D465" s="9" t="str">
        <x:v>reports/hypotheses-20261021-stage5/S-regression-control.json</x:v>
      </x:c>
    </x:row>
    <x:row r="466" ht="34" customHeight="1">
      <x:c r="A466" s="9" t="str">
        <x:v>S-regression-control</x:v>
      </x:c>
      <x:c r="B466" s="9" t="str">
        <x:v>SHA-256 train.csv</x:v>
      </x:c>
      <x:c r="C466" s="9" t="str">
        <x:v>096dac951cf44fade5417ddd0465c41beee3009663dbea34e8d464a4d3c7f775</x:v>
      </x:c>
      <x:c r="D466" s="9" t="str">
        <x:v>reports/hypotheses-20261021-stage5/S-regression-control.json</x:v>
      </x:c>
    </x:row>
    <x:row r="467" ht="34" customHeight="1">
      <x:c r="A467" s="9" t="str">
        <x:v>S-regression-control</x:v>
      </x:c>
      <x:c r="B467" s="9" t="str">
        <x:v>SHA-256 test.csv</x:v>
      </x:c>
      <x:c r="C467" s="9" t="str">
        <x:v>a7c64db92a07e1a5b1e7f637bdd434da7a5e98a1676c854ec6a645c9e5827095</x:v>
      </x:c>
      <x:c r="D467" s="9" t="str">
        <x:v>reports/hypotheses-20261021-stage5/S-regression-control.json</x:v>
      </x:c>
    </x:row>
    <x:row r="468" ht="34" customHeight="1">
      <x:c r="A468" s="9" t="str">
        <x:v>S-regression-control</x:v>
      </x:c>
      <x:c r="B468" s="9" t="str">
        <x:v>SHA-256 sample_submission.csv</x:v>
      </x:c>
      <x:c r="C468" s="9" t="str">
        <x:v>0016b18d58c47bbbe842556b4957ba215b3ad50121c9923260537d936a09eae1</x:v>
      </x:c>
      <x:c r="D468" s="9" t="str">
        <x:v>reports/hypotheses-20261021-stage5/S-regression-control.json</x:v>
      </x:c>
    </x:row>
    <x:row r="469" ht="34" customHeight="1">
      <x:c r="A469" s="9" t="str">
        <x:v>S-regression-candidate</x:v>
      </x:c>
      <x:c r="B469" s="9" t="str">
        <x:v>iterations</x:v>
      </x:c>
      <x:c r="C469" s="9" t="n">
        <x:v>500</x:v>
      </x:c>
      <x:c r="D469" s="9" t="str">
        <x:v>reports/hypotheses-20261021-stage5/S-regression-candidate.json</x:v>
      </x:c>
    </x:row>
    <x:row r="470" ht="34" customHeight="1">
      <x:c r="A470" s="9" t="str">
        <x:v>S-regression-candidate</x:v>
      </x:c>
      <x:c r="B470" s="9" t="str">
        <x:v>learning_rate</x:v>
      </x:c>
      <x:c r="C470" s="9" t="n">
        <x:v>0.05</x:v>
      </x:c>
      <x:c r="D470" s="9" t="str">
        <x:v>reports/hypotheses-20261021-stage5/S-regression-candidate.json</x:v>
      </x:c>
    </x:row>
    <x:row r="471" ht="34" customHeight="1">
      <x:c r="A471" s="9" t="str">
        <x:v>S-regression-candidate</x:v>
      </x:c>
      <x:c r="B471" s="9" t="str">
        <x:v>depth</x:v>
      </x:c>
      <x:c r="C471" s="9" t="n">
        <x:v>6</x:v>
      </x:c>
      <x:c r="D471" s="9" t="str">
        <x:v>reports/hypotheses-20261021-stage5/S-regression-candidate.json</x:v>
      </x:c>
    </x:row>
    <x:row r="472" ht="34" customHeight="1">
      <x:c r="A472" s="9" t="str">
        <x:v>S-regression-candidate</x:v>
      </x:c>
      <x:c r="B472" s="9" t="str">
        <x:v>l2_leaf_reg</x:v>
      </x:c>
      <x:c r="C472" s="9" t="n">
        <x:v>3</x:v>
      </x:c>
      <x:c r="D472" s="9" t="str">
        <x:v>reports/hypotheses-20261021-stage5/S-regression-candidate.json</x:v>
      </x:c>
    </x:row>
    <x:row r="473" ht="34" customHeight="1">
      <x:c r="A473" s="9" t="str">
        <x:v>S-regression-candidate</x:v>
      </x:c>
      <x:c r="B473" s="9" t="str">
        <x:v>loss_function</x:v>
      </x:c>
      <x:c r="C473" s="9" t="str">
        <x:v>RMSE</x:v>
      </x:c>
      <x:c r="D473" s="9" t="str">
        <x:v>reports/hypotheses-20261021-stage5/S-regression-candidate.json</x:v>
      </x:c>
    </x:row>
    <x:row r="474" ht="34" customHeight="1">
      <x:c r="A474" s="9" t="str">
        <x:v>S-regression-candidate</x:v>
      </x:c>
      <x:c r="B474" s="9" t="str">
        <x:v>thread_count</x:v>
      </x:c>
      <x:c r="C474" s="9" t="n">
        <x:v>4</x:v>
      </x:c>
      <x:c r="D474" s="9" t="str">
        <x:v>reports/hypotheses-20261021-stage5/S-regression-candidate.json</x:v>
      </x:c>
    </x:row>
    <x:row r="475" ht="34" customHeight="1">
      <x:c r="A475" s="9" t="str">
        <x:v>S-regression-candidate</x:v>
      </x:c>
      <x:c r="B475" s="9" t="str">
        <x:v>random_seed</x:v>
      </x:c>
      <x:c r="C475" s="9" t="n">
        <x:v>42</x:v>
      </x:c>
      <x:c r="D475" s="9" t="str">
        <x:v>reports/hypotheses-20261021-stage5/S-regression-candidate.json</x:v>
      </x:c>
    </x:row>
    <x:row r="476" ht="34" customHeight="1">
      <x:c r="A476" s="9" t="str">
        <x:v>S-regression-candidate</x:v>
      </x:c>
      <x:c r="B476" s="9" t="str">
        <x:v>verbose</x:v>
      </x:c>
      <x:c r="C476" s="18" t="b">
        <x:v>0</x:v>
      </x:c>
      <x:c r="D476" s="9" t="str">
        <x:v>reports/hypotheses-20261021-stage5/S-regression-candidate.json</x:v>
      </x:c>
    </x:row>
    <x:row r="477" ht="34" customHeight="1">
      <x:c r="A477" s="9" t="str">
        <x:v>S-regression-candidate</x:v>
      </x:c>
      <x:c r="B477" s="9" t="str">
        <x:v>allow_writing_files</x:v>
      </x:c>
      <x:c r="C477" s="18" t="b">
        <x:v>0</x:v>
      </x:c>
      <x:c r="D477" s="9" t="str">
        <x:v>reports/hypotheses-20261021-stage5/S-regression-candidate.json</x:v>
      </x:c>
    </x:row>
    <x:row r="478" ht="34" customHeight="1">
      <x:c r="A478" s="9" t="str">
        <x:v>S-regression-candidate</x:v>
      </x:c>
      <x:c r="B478" s="9" t="str">
        <x:v>recipe.family</x:v>
      </x:c>
      <x:c r="C478" s="9" t="str">
        <x:v>catboost</x:v>
      </x:c>
      <x:c r="D478" s="9" t="str">
        <x:v>reports/hypotheses-20261021-stage5/S-regression-candidate.json</x:v>
      </x:c>
    </x:row>
    <x:row r="479" ht="34" customHeight="1">
      <x:c r="A479" s="9" t="str">
        <x:v>S-regression-candidate</x:v>
      </x:c>
      <x:c r="B479" s="9" t="str">
        <x:v>recipe.variant</x:v>
      </x:c>
      <x:c r="C479" s="9" t="str">
        <x:v>zero_year</x:v>
      </x:c>
      <x:c r="D479" s="9" t="str">
        <x:v>reports/hypotheses-20261021-stage5/S-regression-candidate.json</x:v>
      </x:c>
    </x:row>
    <x:row r="480" ht="34" customHeight="1">
      <x:c r="A480" s="9" t="str">
        <x:v>S-regression-candidate</x:v>
      </x:c>
      <x:c r="B480" s="9" t="str">
        <x:v>split</x:v>
      </x:c>
      <x:c r="C480" s="9" t="str">
        <x:v>Year_Factor &lt; 4 train; == 4 validation</x:v>
      </x:c>
      <x:c r="D480" s="9" t="str">
        <x:v>reports/hypotheses-20261021-stage5/S-regression-candidate.json</x:v>
      </x:c>
    </x:row>
    <x:row r="481" ht="34" customHeight="1">
      <x:c r="A481" s="9" t="str">
        <x:v>S-regression-candidate</x:v>
      </x:c>
      <x:c r="B481" s="9" t="str">
        <x:v>seed</x:v>
      </x:c>
      <x:c r="C481" s="9" t="n">
        <x:v>42</x:v>
      </x:c>
      <x:c r="D481" s="9" t="str">
        <x:v>reports/hypotheses-20261021-stage5/S-regression-candidate.json</x:v>
      </x:c>
    </x:row>
    <x:row r="482" ht="34" customHeight="1">
      <x:c r="A482" s="9" t="str">
        <x:v>S-regression-candidate</x:v>
      </x:c>
      <x:c r="B482" s="9" t="str">
        <x:v>seconds (собственное время)</x:v>
      </x:c>
      <x:c r="C482" s="9" t="n">
        <x:v>1.8</x:v>
      </x:c>
      <x:c r="D482" s="9" t="str">
        <x:v>reports/hypotheses-20261021-stage5/S-regression-candidate.json</x:v>
      </x:c>
    </x:row>
    <x:row r="483" ht="34" customHeight="1">
      <x:c r="A483" s="9" t="str">
        <x:v>S-regression-candidate</x:v>
      </x:c>
      <x:c r="B483" s="9" t="str">
        <x:v>Примечание времени</x:v>
      </x:c>
      <x:c r="C483" s="9" t="str">
        <x:v>Весь запуск; дополнительная проверка без финального обучения</x:v>
      </x:c>
      <x:c r="D483" s="9" t="str">
        <x:v>reports/hypotheses-20261021-stage5/S-regression-candidate.json</x:v>
      </x:c>
    </x:row>
    <x:row r="484" ht="34" customHeight="1">
      <x:c r="A484" s="9" t="str">
        <x:v>S-regression-candidate</x:v>
      </x:c>
      <x:c r="B484" s="9" t="str">
        <x:v>SHA-256 кода</x:v>
      </x:c>
      <x:c r="C484" s="9" t="str">
        <x:v>c042517deb5c06d2882d27a21e1ed4a2bdea3c40106f37781fa18fc8f6c9df8b</x:v>
      </x:c>
      <x:c r="D484" s="9" t="str">
        <x:v>reports/hypotheses-20261021-stage5/S-regression-candidate.json</x:v>
      </x:c>
    </x:row>
    <x:row r="485" ht="34" customHeight="1">
      <x:c r="A485" s="9" t="str">
        <x:v>S-regression-candidate</x:v>
      </x:c>
      <x:c r="B485" s="9" t="str">
        <x:v>SHA-256 train.csv</x:v>
      </x:c>
      <x:c r="C485" s="9" t="str">
        <x:v>096dac951cf44fade5417ddd0465c41beee3009663dbea34e8d464a4d3c7f775</x:v>
      </x:c>
      <x:c r="D485" s="9" t="str">
        <x:v>reports/hypotheses-20261021-stage5/S-regression-candidate.json</x:v>
      </x:c>
    </x:row>
    <x:row r="486" ht="34" customHeight="1">
      <x:c r="A486" s="9" t="str">
        <x:v>S-regression-candidate</x:v>
      </x:c>
      <x:c r="B486" s="9" t="str">
        <x:v>SHA-256 test.csv</x:v>
      </x:c>
      <x:c r="C486" s="9" t="str">
        <x:v>a7c64db92a07e1a5b1e7f637bdd434da7a5e98a1676c854ec6a645c9e5827095</x:v>
      </x:c>
      <x:c r="D486" s="9" t="str">
        <x:v>reports/hypotheses-20261021-stage5/S-regression-candidate.json</x:v>
      </x:c>
    </x:row>
    <x:row r="487" ht="34" customHeight="1">
      <x:c r="A487" s="9" t="str">
        <x:v>S-regression-candidate</x:v>
      </x:c>
      <x:c r="B487" s="9" t="str">
        <x:v>SHA-256 sample_submission.csv</x:v>
      </x:c>
      <x:c r="C487" s="9" t="str">
        <x:v>0016b18d58c47bbbe842556b4957ba215b3ad50121c9923260537d936a09eae1</x:v>
      </x:c>
      <x:c r="D487" s="9" t="str">
        <x:v>reports/hypotheses-20261021-stage5/S-regression-candidate.json</x:v>
      </x:c>
    </x:row>
    <x:row r="488" ht="34" customHeight="1">
      <x:c r="A488" s="9" t="str">
        <x:v>S-multiclass-control</x:v>
      </x:c>
      <x:c r="B488" s="9" t="str">
        <x:v>bootstrap</x:v>
      </x:c>
      <x:c r="C488" s="18" t="b">
        <x:v>1</x:v>
      </x:c>
      <x:c r="D488" s="9" t="str">
        <x:v>reports/hypotheses-20261021-stage5/S-multiclass-control.json</x:v>
      </x:c>
    </x:row>
    <x:row r="489" ht="34" customHeight="1">
      <x:c r="A489" s="9" t="str">
        <x:v>S-multiclass-control</x:v>
      </x:c>
      <x:c r="B489" s="9" t="str">
        <x:v>ccp_alpha</x:v>
      </x:c>
      <x:c r="C489" s="9" t="n">
        <x:v>0</x:v>
      </x:c>
      <x:c r="D489" s="9" t="str">
        <x:v>reports/hypotheses-20261021-stage5/S-multiclass-control.json</x:v>
      </x:c>
    </x:row>
    <x:row r="490" ht="34" customHeight="1">
      <x:c r="A490" s="9" t="str">
        <x:v>S-multiclass-control</x:v>
      </x:c>
      <x:c r="B490" s="9" t="str">
        <x:v>class_weight</x:v>
      </x:c>
      <x:c r="C490" s="9" t="str">
        <x:v>None</x:v>
      </x:c>
      <x:c r="D490" s="9" t="str">
        <x:v>reports/hypotheses-20261021-stage5/S-multiclass-control.json</x:v>
      </x:c>
    </x:row>
    <x:row r="491" ht="34" customHeight="1">
      <x:c r="A491" s="9" t="str">
        <x:v>S-multiclass-control</x:v>
      </x:c>
      <x:c r="B491" s="9" t="str">
        <x:v>criterion</x:v>
      </x:c>
      <x:c r="C491" s="9" t="str">
        <x:v>gini</x:v>
      </x:c>
      <x:c r="D491" s="9" t="str">
        <x:v>reports/hypotheses-20261021-stage5/S-multiclass-control.json</x:v>
      </x:c>
    </x:row>
    <x:row r="492" ht="34" customHeight="1">
      <x:c r="A492" s="9" t="str">
        <x:v>S-multiclass-control</x:v>
      </x:c>
      <x:c r="B492" s="9" t="str">
        <x:v>max_depth</x:v>
      </x:c>
      <x:c r="C492" s="9" t="n">
        <x:v>20</x:v>
      </x:c>
      <x:c r="D492" s="9" t="str">
        <x:v>reports/hypotheses-20261021-stage5/S-multiclass-control.json</x:v>
      </x:c>
    </x:row>
    <x:row r="493" ht="34" customHeight="1">
      <x:c r="A493" s="9" t="str">
        <x:v>S-multiclass-control</x:v>
      </x:c>
      <x:c r="B493" s="9" t="str">
        <x:v>max_features</x:v>
      </x:c>
      <x:c r="C493" s="9" t="n">
        <x:v>0.8</x:v>
      </x:c>
      <x:c r="D493" s="9" t="str">
        <x:v>reports/hypotheses-20261021-stage5/S-multiclass-control.json</x:v>
      </x:c>
    </x:row>
    <x:row r="494" ht="34" customHeight="1">
      <x:c r="A494" s="9" t="str">
        <x:v>S-multiclass-control</x:v>
      </x:c>
      <x:c r="B494" s="9" t="str">
        <x:v>max_leaf_nodes</x:v>
      </x:c>
      <x:c r="C494" s="9" t="str">
        <x:v>None</x:v>
      </x:c>
      <x:c r="D494" s="9" t="str">
        <x:v>reports/hypotheses-20261021-stage5/S-multiclass-control.json</x:v>
      </x:c>
    </x:row>
    <x:row r="495" ht="34" customHeight="1">
      <x:c r="A495" s="9" t="str">
        <x:v>S-multiclass-control</x:v>
      </x:c>
      <x:c r="B495" s="9" t="str">
        <x:v>max_samples</x:v>
      </x:c>
      <x:c r="C495" s="9" t="str">
        <x:v>None</x:v>
      </x:c>
      <x:c r="D495" s="9" t="str">
        <x:v>reports/hypotheses-20261021-stage5/S-multiclass-control.json</x:v>
      </x:c>
    </x:row>
    <x:row r="496" ht="34" customHeight="1">
      <x:c r="A496" s="9" t="str">
        <x:v>S-multiclass-control</x:v>
      </x:c>
      <x:c r="B496" s="9" t="str">
        <x:v>min_impurity_decrease</x:v>
      </x:c>
      <x:c r="C496" s="9" t="n">
        <x:v>0</x:v>
      </x:c>
      <x:c r="D496" s="9" t="str">
        <x:v>reports/hypotheses-20261021-stage5/S-multiclass-control.json</x:v>
      </x:c>
    </x:row>
    <x:row r="497" ht="34" customHeight="1">
      <x:c r="A497" s="9" t="str">
        <x:v>S-multiclass-control</x:v>
      </x:c>
      <x:c r="B497" s="9" t="str">
        <x:v>min_samples_leaf</x:v>
      </x:c>
      <x:c r="C497" s="9" t="n">
        <x:v>2</x:v>
      </x:c>
      <x:c r="D497" s="9" t="str">
        <x:v>reports/hypotheses-20261021-stage5/S-multiclass-control.json</x:v>
      </x:c>
    </x:row>
    <x:row r="498" ht="34" customHeight="1">
      <x:c r="A498" s="9" t="str">
        <x:v>S-multiclass-control</x:v>
      </x:c>
      <x:c r="B498" s="9" t="str">
        <x:v>min_samples_split</x:v>
      </x:c>
      <x:c r="C498" s="9" t="n">
        <x:v>2</x:v>
      </x:c>
      <x:c r="D498" s="9" t="str">
        <x:v>reports/hypotheses-20261021-stage5/S-multiclass-control.json</x:v>
      </x:c>
    </x:row>
    <x:row r="499" ht="34" customHeight="1">
      <x:c r="A499" s="9" t="str">
        <x:v>S-multiclass-control</x:v>
      </x:c>
      <x:c r="B499" s="9" t="str">
        <x:v>min_weight_fraction_leaf</x:v>
      </x:c>
      <x:c r="C499" s="9" t="n">
        <x:v>0</x:v>
      </x:c>
      <x:c r="D499" s="9" t="str">
        <x:v>reports/hypotheses-20261021-stage5/S-multiclass-control.json</x:v>
      </x:c>
    </x:row>
    <x:row r="500" ht="34" customHeight="1">
      <x:c r="A500" s="9" t="str">
        <x:v>S-multiclass-control</x:v>
      </x:c>
      <x:c r="B500" s="9" t="str">
        <x:v>monotonic_cst</x:v>
      </x:c>
      <x:c r="C500" s="9" t="str">
        <x:v>None</x:v>
      </x:c>
      <x:c r="D500" s="9" t="str">
        <x:v>reports/hypotheses-20261021-stage5/S-multiclass-control.json</x:v>
      </x:c>
    </x:row>
    <x:row r="501" ht="34" customHeight="1">
      <x:c r="A501" s="9" t="str">
        <x:v>S-multiclass-control</x:v>
      </x:c>
      <x:c r="B501" s="9" t="str">
        <x:v>n_estimators</x:v>
      </x:c>
      <x:c r="C501" s="9" t="n">
        <x:v>150</x:v>
      </x:c>
      <x:c r="D501" s="9" t="str">
        <x:v>reports/hypotheses-20261021-stage5/S-multiclass-control.json</x:v>
      </x:c>
    </x:row>
    <x:row r="502" ht="34" customHeight="1">
      <x:c r="A502" s="9" t="str">
        <x:v>S-multiclass-control</x:v>
      </x:c>
      <x:c r="B502" s="9" t="str">
        <x:v>n_jobs</x:v>
      </x:c>
      <x:c r="C502" s="9" t="n">
        <x:v>4</x:v>
      </x:c>
      <x:c r="D502" s="9" t="str">
        <x:v>reports/hypotheses-20261021-stage5/S-multiclass-control.json</x:v>
      </x:c>
    </x:row>
    <x:row r="503" ht="34" customHeight="1">
      <x:c r="A503" s="9" t="str">
        <x:v>S-multiclass-control</x:v>
      </x:c>
      <x:c r="B503" s="9" t="str">
        <x:v>oob_score</x:v>
      </x:c>
      <x:c r="C503" s="18" t="b">
        <x:v>0</x:v>
      </x:c>
      <x:c r="D503" s="9" t="str">
        <x:v>reports/hypotheses-20261021-stage5/S-multiclass-control.json</x:v>
      </x:c>
    </x:row>
    <x:row r="504" ht="34" customHeight="1">
      <x:c r="A504" s="9" t="str">
        <x:v>S-multiclass-control</x:v>
      </x:c>
      <x:c r="B504" s="9" t="str">
        <x:v>random_state</x:v>
      </x:c>
      <x:c r="C504" s="9" t="n">
        <x:v>42</x:v>
      </x:c>
      <x:c r="D504" s="9" t="str">
        <x:v>reports/hypotheses-20261021-stage5/S-multiclass-control.json</x:v>
      </x:c>
    </x:row>
    <x:row r="505" ht="34" customHeight="1">
      <x:c r="A505" s="9" t="str">
        <x:v>S-multiclass-control</x:v>
      </x:c>
      <x:c r="B505" s="9" t="str">
        <x:v>verbose</x:v>
      </x:c>
      <x:c r="C505" s="9" t="n">
        <x:v>0</x:v>
      </x:c>
      <x:c r="D505" s="9" t="str">
        <x:v>reports/hypotheses-20261021-stage5/S-multiclass-control.json</x:v>
      </x:c>
    </x:row>
    <x:row r="506" ht="34" customHeight="1">
      <x:c r="A506" s="9" t="str">
        <x:v>S-multiclass-control</x:v>
      </x:c>
      <x:c r="B506" s="9" t="str">
        <x:v>warm_start</x:v>
      </x:c>
      <x:c r="C506" s="18" t="b">
        <x:v>0</x:v>
      </x:c>
      <x:c r="D506" s="9" t="str">
        <x:v>reports/hypotheses-20261021-stage5/S-multiclass-control.json</x:v>
      </x:c>
    </x:row>
    <x:row r="507" ht="34" customHeight="1">
      <x:c r="A507" s="9" t="str">
        <x:v>S-multiclass-control</x:v>
      </x:c>
      <x:c r="B507" s="9" t="str">
        <x:v>recipe.family</x:v>
      </x:c>
      <x:c r="C507" s="9" t="str">
        <x:v>forest</x:v>
      </x:c>
      <x:c r="D507" s="9" t="str">
        <x:v>reports/hypotheses-20261021-stage5/S-multiclass-control.json</x:v>
      </x:c>
    </x:row>
    <x:row r="508" ht="34" customHeight="1">
      <x:c r="A508" s="9" t="str">
        <x:v>S-multiclass-control</x:v>
      </x:c>
      <x:c r="B508" s="9" t="str">
        <x:v>recipe.variant</x:v>
      </x:c>
      <x:c r="C508" s="9" t="str">
        <x:v>plain</x:v>
      </x:c>
      <x:c r="D508" s="9" t="str">
        <x:v>reports/hypotheses-20261021-stage5/S-multiclass-control.json</x:v>
      </x:c>
    </x:row>
    <x:row r="509" ht="34" customHeight="1">
      <x:c r="A509" s="9" t="str">
        <x:v>S-multiclass-control</x:v>
      </x:c>
      <x:c r="B509" s="9" t="str">
        <x:v>split</x:v>
      </x:c>
      <x:c r="C509" s="9" t="str">
        <x:v>stratified 80/20; random_state=2026</x:v>
      </x:c>
      <x:c r="D509" s="9" t="str">
        <x:v>reports/hypotheses-20261021-stage5/S-multiclass-control.json</x:v>
      </x:c>
    </x:row>
    <x:row r="510" ht="34" customHeight="1">
      <x:c r="A510" s="9" t="str">
        <x:v>S-multiclass-control</x:v>
      </x:c>
      <x:c r="B510" s="9" t="str">
        <x:v>seed</x:v>
      </x:c>
      <x:c r="C510" s="9" t="n">
        <x:v>2026</x:v>
      </x:c>
      <x:c r="D510" s="9" t="str">
        <x:v>reports/hypotheses-20261021-stage5/S-multiclass-control.json</x:v>
      </x:c>
    </x:row>
    <x:row r="511" ht="34" customHeight="1">
      <x:c r="A511" s="9" t="str">
        <x:v>S-multiclass-control</x:v>
      </x:c>
      <x:c r="B511" s="9" t="str">
        <x:v>seconds (собственное время)</x:v>
      </x:c>
      <x:c r="C511" s="9" t="n">
        <x:v>35.2</x:v>
      </x:c>
      <x:c r="D511" s="9" t="str">
        <x:v>reports/hypotheses-20261021-stage5/S-multiclass-control.json</x:v>
      </x:c>
    </x:row>
    <x:row r="512" ht="34" customHeight="1">
      <x:c r="A512" s="9" t="str">
        <x:v>S-multiclass-control</x:v>
      </x:c>
      <x:c r="B512" s="9" t="str">
        <x:v>Примечание времени</x:v>
      </x:c>
      <x:c r="C512" s="9" t="str">
        <x:v>Весь запуск; дополнительная проверка без финального обучения</x:v>
      </x:c>
      <x:c r="D512" s="9" t="str">
        <x:v>reports/hypotheses-20261021-stage5/S-multiclass-control.json</x:v>
      </x:c>
    </x:row>
    <x:row r="513" ht="34" customHeight="1">
      <x:c r="A513" s="9" t="str">
        <x:v>S-multiclass-control</x:v>
      </x:c>
      <x:c r="B513" s="9" t="str">
        <x:v>SHA-256 кода</x:v>
      </x:c>
      <x:c r="C513" s="9" t="str">
        <x:v>c042517deb5c06d2882d27a21e1ed4a2bdea3c40106f37781fa18fc8f6c9df8b</x:v>
      </x:c>
      <x:c r="D513" s="9" t="str">
        <x:v>reports/hypotheses-20261021-stage5/S-multiclass-control.json</x:v>
      </x:c>
    </x:row>
    <x:row r="514" ht="34" customHeight="1">
      <x:c r="A514" s="9" t="str">
        <x:v>S-multiclass-control</x:v>
      </x:c>
      <x:c r="B514" s="9" t="str">
        <x:v>SHA-256 train.csv</x:v>
      </x:c>
      <x:c r="C514" s="9" t="str">
        <x:v>171a8915070b7575b729a32f70a45d1ad7b6f43c65b4ce12a0a68af30d5cb4e0</x:v>
      </x:c>
      <x:c r="D514" s="9" t="str">
        <x:v>reports/hypotheses-20261021-stage5/S-multiclass-control.json</x:v>
      </x:c>
    </x:row>
    <x:row r="515" ht="34" customHeight="1">
      <x:c r="A515" s="9" t="str">
        <x:v>S-multiclass-control</x:v>
      </x:c>
      <x:c r="B515" s="9" t="str">
        <x:v>SHA-256 test.csv</x:v>
      </x:c>
      <x:c r="C515" s="9" t="str">
        <x:v>b825449603931b5f05a8855e3d92b57775221c93ed4730ac6b4c75b9ea608862</x:v>
      </x:c>
      <x:c r="D515" s="9" t="str">
        <x:v>reports/hypotheses-20261021-stage5/S-multiclass-control.json</x:v>
      </x:c>
    </x:row>
    <x:row r="516" ht="34" customHeight="1">
      <x:c r="A516" s="9" t="str">
        <x:v>S-multiclass-control</x:v>
      </x:c>
      <x:c r="B516" s="9" t="str">
        <x:v>SHA-256 sample_submission.csv</x:v>
      </x:c>
      <x:c r="C516" s="9" t="str">
        <x:v>4d23642fcff01e49b0ef5a9f018b2381c12fad97282fa586285ad49b01e9623e</x:v>
      </x:c>
      <x:c r="D516" s="9" t="str">
        <x:v>reports/hypotheses-20261021-stage5/S-multiclass-control.json</x:v>
      </x:c>
    </x:row>
    <x:row r="517" ht="34" customHeight="1">
      <x:c r="A517" s="9" t="str">
        <x:v>S-multiclass-candidate</x:v>
      </x:c>
      <x:c r="B517" s="9" t="str">
        <x:v>bootstrap</x:v>
      </x:c>
      <x:c r="C517" s="18" t="b">
        <x:v>1</x:v>
      </x:c>
      <x:c r="D517" s="9" t="str">
        <x:v>reports/hypotheses-20261021-stage5/S-multiclass-candidate.json</x:v>
      </x:c>
    </x:row>
    <x:row r="518" ht="34" customHeight="1">
      <x:c r="A518" s="9" t="str">
        <x:v>S-multiclass-candidate</x:v>
      </x:c>
      <x:c r="B518" s="9" t="str">
        <x:v>ccp_alpha</x:v>
      </x:c>
      <x:c r="C518" s="9" t="n">
        <x:v>0</x:v>
      </x:c>
      <x:c r="D518" s="9" t="str">
        <x:v>reports/hypotheses-20261021-stage5/S-multiclass-candidate.json</x:v>
      </x:c>
    </x:row>
    <x:row r="519" ht="34" customHeight="1">
      <x:c r="A519" s="9" t="str">
        <x:v>S-multiclass-candidate</x:v>
      </x:c>
      <x:c r="B519" s="9" t="str">
        <x:v>class_weight</x:v>
      </x:c>
      <x:c r="C519" s="9" t="str">
        <x:v>None</x:v>
      </x:c>
      <x:c r="D519" s="9" t="str">
        <x:v>reports/hypotheses-20261021-stage5/S-multiclass-candidate.json</x:v>
      </x:c>
    </x:row>
    <x:row r="520" ht="34" customHeight="1">
      <x:c r="A520" s="9" t="str">
        <x:v>S-multiclass-candidate</x:v>
      </x:c>
      <x:c r="B520" s="9" t="str">
        <x:v>criterion</x:v>
      </x:c>
      <x:c r="C520" s="9" t="str">
        <x:v>gini</x:v>
      </x:c>
      <x:c r="D520" s="9" t="str">
        <x:v>reports/hypotheses-20261021-stage5/S-multiclass-candidate.json</x:v>
      </x:c>
    </x:row>
    <x:row r="521" ht="34" customHeight="1">
      <x:c r="A521" s="9" t="str">
        <x:v>S-multiclass-candidate</x:v>
      </x:c>
      <x:c r="B521" s="9" t="str">
        <x:v>max_depth</x:v>
      </x:c>
      <x:c r="C521" s="9" t="n">
        <x:v>20</x:v>
      </x:c>
      <x:c r="D521" s="9" t="str">
        <x:v>reports/hypotheses-20261021-stage5/S-multiclass-candidate.json</x:v>
      </x:c>
    </x:row>
    <x:row r="522" ht="34" customHeight="1">
      <x:c r="A522" s="9" t="str">
        <x:v>S-multiclass-candidate</x:v>
      </x:c>
      <x:c r="B522" s="9" t="str">
        <x:v>max_features</x:v>
      </x:c>
      <x:c r="C522" s="9" t="n">
        <x:v>0.8</x:v>
      </x:c>
      <x:c r="D522" s="9" t="str">
        <x:v>reports/hypotheses-20261021-stage5/S-multiclass-candidate.json</x:v>
      </x:c>
    </x:row>
    <x:row r="523" ht="34" customHeight="1">
      <x:c r="A523" s="9" t="str">
        <x:v>S-multiclass-candidate</x:v>
      </x:c>
      <x:c r="B523" s="9" t="str">
        <x:v>max_leaf_nodes</x:v>
      </x:c>
      <x:c r="C523" s="9" t="str">
        <x:v>None</x:v>
      </x:c>
      <x:c r="D523" s="9" t="str">
        <x:v>reports/hypotheses-20261021-stage5/S-multiclass-candidate.json</x:v>
      </x:c>
    </x:row>
    <x:row r="524" ht="34" customHeight="1">
      <x:c r="A524" s="9" t="str">
        <x:v>S-multiclass-candidate</x:v>
      </x:c>
      <x:c r="B524" s="9" t="str">
        <x:v>max_samples</x:v>
      </x:c>
      <x:c r="C524" s="9" t="str">
        <x:v>None</x:v>
      </x:c>
      <x:c r="D524" s="9" t="str">
        <x:v>reports/hypotheses-20261021-stage5/S-multiclass-candidate.json</x:v>
      </x:c>
    </x:row>
    <x:row r="525" ht="34" customHeight="1">
      <x:c r="A525" s="9" t="str">
        <x:v>S-multiclass-candidate</x:v>
      </x:c>
      <x:c r="B525" s="9" t="str">
        <x:v>min_impurity_decrease</x:v>
      </x:c>
      <x:c r="C525" s="9" t="n">
        <x:v>0</x:v>
      </x:c>
      <x:c r="D525" s="9" t="str">
        <x:v>reports/hypotheses-20261021-stage5/S-multiclass-candidate.json</x:v>
      </x:c>
    </x:row>
    <x:row r="526" ht="34" customHeight="1">
      <x:c r="A526" s="9" t="str">
        <x:v>S-multiclass-candidate</x:v>
      </x:c>
      <x:c r="B526" s="9" t="str">
        <x:v>min_samples_leaf</x:v>
      </x:c>
      <x:c r="C526" s="9" t="n">
        <x:v>2</x:v>
      </x:c>
      <x:c r="D526" s="9" t="str">
        <x:v>reports/hypotheses-20261021-stage5/S-multiclass-candidate.json</x:v>
      </x:c>
    </x:row>
    <x:row r="527" ht="34" customHeight="1">
      <x:c r="A527" s="9" t="str">
        <x:v>S-multiclass-candidate</x:v>
      </x:c>
      <x:c r="B527" s="9" t="str">
        <x:v>min_samples_split</x:v>
      </x:c>
      <x:c r="C527" s="9" t="n">
        <x:v>2</x:v>
      </x:c>
      <x:c r="D527" s="9" t="str">
        <x:v>reports/hypotheses-20261021-stage5/S-multiclass-candidate.json</x:v>
      </x:c>
    </x:row>
    <x:row r="528" ht="34" customHeight="1">
      <x:c r="A528" s="9" t="str">
        <x:v>S-multiclass-candidate</x:v>
      </x:c>
      <x:c r="B528" s="9" t="str">
        <x:v>min_weight_fraction_leaf</x:v>
      </x:c>
      <x:c r="C528" s="9" t="n">
        <x:v>0</x:v>
      </x:c>
      <x:c r="D528" s="9" t="str">
        <x:v>reports/hypotheses-20261021-stage5/S-multiclass-candidate.json</x:v>
      </x:c>
    </x:row>
    <x:row r="529" ht="34" customHeight="1">
      <x:c r="A529" s="9" t="str">
        <x:v>S-multiclass-candidate</x:v>
      </x:c>
      <x:c r="B529" s="9" t="str">
        <x:v>monotonic_cst</x:v>
      </x:c>
      <x:c r="C529" s="9" t="str">
        <x:v>None</x:v>
      </x:c>
      <x:c r="D529" s="9" t="str">
        <x:v>reports/hypotheses-20261021-stage5/S-multiclass-candidate.json</x:v>
      </x:c>
    </x:row>
    <x:row r="530" ht="34" customHeight="1">
      <x:c r="A530" s="9" t="str">
        <x:v>S-multiclass-candidate</x:v>
      </x:c>
      <x:c r="B530" s="9" t="str">
        <x:v>n_estimators</x:v>
      </x:c>
      <x:c r="C530" s="9" t="n">
        <x:v>150</x:v>
      </x:c>
      <x:c r="D530" s="9" t="str">
        <x:v>reports/hypotheses-20261021-stage5/S-multiclass-candidate.json</x:v>
      </x:c>
    </x:row>
    <x:row r="531" ht="34" customHeight="1">
      <x:c r="A531" s="9" t="str">
        <x:v>S-multiclass-candidate</x:v>
      </x:c>
      <x:c r="B531" s="9" t="str">
        <x:v>n_jobs</x:v>
      </x:c>
      <x:c r="C531" s="9" t="n">
        <x:v>4</x:v>
      </x:c>
      <x:c r="D531" s="9" t="str">
        <x:v>reports/hypotheses-20261021-stage5/S-multiclass-candidate.json</x:v>
      </x:c>
    </x:row>
    <x:row r="532" ht="34" customHeight="1">
      <x:c r="A532" s="9" t="str">
        <x:v>S-multiclass-candidate</x:v>
      </x:c>
      <x:c r="B532" s="9" t="str">
        <x:v>oob_score</x:v>
      </x:c>
      <x:c r="C532" s="18" t="b">
        <x:v>0</x:v>
      </x:c>
      <x:c r="D532" s="9" t="str">
        <x:v>reports/hypotheses-20261021-stage5/S-multiclass-candidate.json</x:v>
      </x:c>
    </x:row>
    <x:row r="533" ht="34" customHeight="1">
      <x:c r="A533" s="9" t="str">
        <x:v>S-multiclass-candidate</x:v>
      </x:c>
      <x:c r="B533" s="9" t="str">
        <x:v>random_state</x:v>
      </x:c>
      <x:c r="C533" s="9" t="n">
        <x:v>42</x:v>
      </x:c>
      <x:c r="D533" s="9" t="str">
        <x:v>reports/hypotheses-20261021-stage5/S-multiclass-candidate.json</x:v>
      </x:c>
    </x:row>
    <x:row r="534" ht="34" customHeight="1">
      <x:c r="A534" s="9" t="str">
        <x:v>S-multiclass-candidate</x:v>
      </x:c>
      <x:c r="B534" s="9" t="str">
        <x:v>verbose</x:v>
      </x:c>
      <x:c r="C534" s="9" t="n">
        <x:v>0</x:v>
      </x:c>
      <x:c r="D534" s="9" t="str">
        <x:v>reports/hypotheses-20261021-stage5/S-multiclass-candidate.json</x:v>
      </x:c>
    </x:row>
    <x:row r="535" ht="34" customHeight="1">
      <x:c r="A535" s="9" t="str">
        <x:v>S-multiclass-candidate</x:v>
      </x:c>
      <x:c r="B535" s="9" t="str">
        <x:v>warm_start</x:v>
      </x:c>
      <x:c r="C535" s="18" t="b">
        <x:v>0</x:v>
      </x:c>
      <x:c r="D535" s="9" t="str">
        <x:v>reports/hypotheses-20261021-stage5/S-multiclass-candidate.json</x:v>
      </x:c>
    </x:row>
    <x:row r="536" ht="34" customHeight="1">
      <x:c r="A536" s="9" t="str">
        <x:v>S-multiclass-candidate</x:v>
      </x:c>
      <x:c r="B536" s="9" t="str">
        <x:v>recipe.family</x:v>
      </x:c>
      <x:c r="C536" s="9" t="str">
        <x:v>forest</x:v>
      </x:c>
      <x:c r="D536" s="9" t="str">
        <x:v>reports/hypotheses-20261021-stage5/S-multiclass-candidate.json</x:v>
      </x:c>
    </x:row>
    <x:row r="537" ht="34" customHeight="1">
      <x:c r="A537" s="9" t="str">
        <x:v>S-multiclass-candidate</x:v>
      </x:c>
      <x:c r="B537" s="9" t="str">
        <x:v>recipe.variant</x:v>
      </x:c>
      <x:c r="C537" s="9" t="str">
        <x:v>flow_ratios</x:v>
      </x:c>
      <x:c r="D537" s="9" t="str">
        <x:v>reports/hypotheses-20261021-stage5/S-multiclass-candidate.json</x:v>
      </x:c>
    </x:row>
    <x:row r="538" ht="34" customHeight="1">
      <x:c r="A538" s="9" t="str">
        <x:v>S-multiclass-candidate</x:v>
      </x:c>
      <x:c r="B538" s="9" t="str">
        <x:v>split</x:v>
      </x:c>
      <x:c r="C538" s="9" t="str">
        <x:v>stratified 80/20; random_state=2026</x:v>
      </x:c>
      <x:c r="D538" s="9" t="str">
        <x:v>reports/hypotheses-20261021-stage5/S-multiclass-candidate.json</x:v>
      </x:c>
    </x:row>
    <x:row r="539" ht="34" customHeight="1">
      <x:c r="A539" s="9" t="str">
        <x:v>S-multiclass-candidate</x:v>
      </x:c>
      <x:c r="B539" s="9" t="str">
        <x:v>seed</x:v>
      </x:c>
      <x:c r="C539" s="9" t="n">
        <x:v>2026</x:v>
      </x:c>
      <x:c r="D539" s="9" t="str">
        <x:v>reports/hypotheses-20261021-stage5/S-multiclass-candidate.json</x:v>
      </x:c>
    </x:row>
    <x:row r="540" ht="34" customHeight="1">
      <x:c r="A540" s="9" t="str">
        <x:v>S-multiclass-candidate</x:v>
      </x:c>
      <x:c r="B540" s="9" t="str">
        <x:v>seconds (собственное время)</x:v>
      </x:c>
      <x:c r="C540" s="9" t="n">
        <x:v>38.37</x:v>
      </x:c>
      <x:c r="D540" s="9" t="str">
        <x:v>reports/hypotheses-20261021-stage5/S-multiclass-candidate.json</x:v>
      </x:c>
    </x:row>
    <x:row r="541" ht="34" customHeight="1">
      <x:c r="A541" s="9" t="str">
        <x:v>S-multiclass-candidate</x:v>
      </x:c>
      <x:c r="B541" s="9" t="str">
        <x:v>Примечание времени</x:v>
      </x:c>
      <x:c r="C541" s="9" t="str">
        <x:v>Весь запуск; дополнительная проверка без финального обучения</x:v>
      </x:c>
      <x:c r="D541" s="9" t="str">
        <x:v>reports/hypotheses-20261021-stage5/S-multiclass-candidate.json</x:v>
      </x:c>
    </x:row>
    <x:row r="542" ht="34" customHeight="1">
      <x:c r="A542" s="9" t="str">
        <x:v>S-multiclass-candidate</x:v>
      </x:c>
      <x:c r="B542" s="9" t="str">
        <x:v>SHA-256 кода</x:v>
      </x:c>
      <x:c r="C542" s="9" t="str">
        <x:v>c042517deb5c06d2882d27a21e1ed4a2bdea3c40106f37781fa18fc8f6c9df8b</x:v>
      </x:c>
      <x:c r="D542" s="9" t="str">
        <x:v>reports/hypotheses-20261021-stage5/S-multiclass-candidate.json</x:v>
      </x:c>
    </x:row>
    <x:row r="543" ht="34" customHeight="1">
      <x:c r="A543" s="9" t="str">
        <x:v>S-multiclass-candidate</x:v>
      </x:c>
      <x:c r="B543" s="9" t="str">
        <x:v>SHA-256 train.csv</x:v>
      </x:c>
      <x:c r="C543" s="9" t="str">
        <x:v>171a8915070b7575b729a32f70a45d1ad7b6f43c65b4ce12a0a68af30d5cb4e0</x:v>
      </x:c>
      <x:c r="D543" s="9" t="str">
        <x:v>reports/hypotheses-20261021-stage5/S-multiclass-candidate.json</x:v>
      </x:c>
    </x:row>
    <x:row r="544" ht="34" customHeight="1">
      <x:c r="A544" s="9" t="str">
        <x:v>S-multiclass-candidate</x:v>
      </x:c>
      <x:c r="B544" s="9" t="str">
        <x:v>SHA-256 test.csv</x:v>
      </x:c>
      <x:c r="C544" s="9" t="str">
        <x:v>b825449603931b5f05a8855e3d92b57775221c93ed4730ac6b4c75b9ea608862</x:v>
      </x:c>
      <x:c r="D544" s="9" t="str">
        <x:v>reports/hypotheses-20261021-stage5/S-multiclass-candidate.json</x:v>
      </x:c>
    </x:row>
    <x:row r="545" ht="34" customHeight="1">
      <x:c r="A545" s="9" t="str">
        <x:v>S-multiclass-candidate</x:v>
      </x:c>
      <x:c r="B545" s="9" t="str">
        <x:v>SHA-256 sample_submission.csv</x:v>
      </x:c>
      <x:c r="C545" s="9" t="str">
        <x:v>4d23642fcff01e49b0ef5a9f018b2381c12fad97282fa586285ad49b01e9623e</x:v>
      </x:c>
      <x:c r="D545" s="9" t="str">
        <x:v>reports/hypotheses-20261021-stage5/S-multiclass-candidate.json</x:v>
      </x:c>
    </x:row>
    <x:row r="546" ht="34" customHeight="1">
      <x:c r="A546" s="9" t="str">
        <x:v>diagnostic-ols-regression</x:v>
      </x:c>
      <x:c r="B546" s="9" t="str">
        <x:v>Конфигурация по сохранившимся сведениям</x:v>
      </x:c>
      <x:c r="C546" s="9" t="str">
        <x:v>LinearRegression(); настройки по умолчанию, диагностический запуск</x:v>
      </x:c>
      <x:c r="D546" s="9" t="str">
        <x:v>reports/diagnostics/diagnostic-ols-regression.json</x:v>
      </x:c>
    </x:row>
    <x:row r="547" ht="34" customHeight="1">
      <x:c r="A547" s="9" t="str">
        <x:v>diagnostic-ols-regression</x:v>
      </x:c>
      <x:c r="B547" s="9" t="str">
        <x:v>split</x:v>
      </x:c>
      <x:c r="C547" s="9" t="str">
        <x:v>Year_Factor &lt; 5 train; == 5 validation</x:v>
      </x:c>
      <x:c r="D547" s="9" t="str">
        <x:v>reports/diagnostics/diagnostic-ols-regression.json</x:v>
      </x:c>
    </x:row>
    <x:row r="548" ht="34" customHeight="1">
      <x:c r="A548" s="9" t="str">
        <x:v>diagnostic-ols-regression</x:v>
      </x:c>
      <x:c r="B548" s="9" t="str">
        <x:v>seed</x:v>
      </x:c>
      <x:c r="C548" s="9" t="n">
        <x:v>42</x:v>
      </x:c>
      <x:c r="D548" s="9" t="str">
        <x:v>reports/diagnostics/diagnostic-ols-regression.json</x:v>
      </x:c>
    </x:row>
    <x:row r="549" ht="34" customHeight="1">
      <x:c r="A549" s="9" t="str">
        <x:v>diagnostic-ols-regression</x:v>
      </x:c>
      <x:c r="B549" s="9" t="str">
        <x:v>seconds (собственное время)</x:v>
      </x:c>
      <x:c r="C549" s="9" t="n">
        <x:v>0.99</x:v>
      </x:c>
      <x:c r="D549" s="9" t="str">
        <x:v>reports/diagnostics/diagnostic-ols-regression.json</x:v>
      </x:c>
    </x:row>
    <x:row r="550" ht="34" customHeight="1">
      <x:c r="A550" s="9" t="str">
        <x:v>diagnostic-ols-regression</x:v>
      </x:c>
      <x:c r="B550" s="9" t="str">
        <x:v>Примечание времени</x:v>
      </x:c>
      <x:c r="C550" s="9" t="str">
        <x:v>Полный запуск с финальным обучением, если не указано иное</x:v>
      </x:c>
      <x:c r="D550" s="9" t="str">
        <x:v>reports/diagnostics/diagnostic-ols-regression.json</x:v>
      </x:c>
    </x:row>
    <x:row r="551" ht="34" customHeight="1">
      <x:c r="A551" s="9" t="str">
        <x:v>diagnostic-ols-regression</x:v>
      </x:c>
      <x:c r="B551" s="9" t="str">
        <x:v>SHA-256 train.csv</x:v>
      </x:c>
      <x:c r="C551" s="9" t="str">
        <x:v>096dac951cf44fade5417ddd0465c41beee3009663dbea34e8d464a4d3c7f775</x:v>
      </x:c>
      <x:c r="D551" s="9" t="str">
        <x:v>reports/diagnostics/diagnostic-ols-regression.json</x:v>
      </x:c>
    </x:row>
    <x:row r="552" ht="34" customHeight="1">
      <x:c r="A552" s="9" t="str">
        <x:v>diagnostic-ols-regression</x:v>
      </x:c>
      <x:c r="B552" s="9" t="str">
        <x:v>SHA-256 test.csv</x:v>
      </x:c>
      <x:c r="C552" s="9" t="str">
        <x:v>a7c64db92a07e1a5b1e7f637bdd434da7a5e98a1676c854ec6a645c9e5827095</x:v>
      </x:c>
      <x:c r="D552" s="9" t="str">
        <x:v>reports/diagnostics/diagnostic-ols-regression.json</x:v>
      </x:c>
    </x:row>
    <x:row r="553" ht="34" customHeight="1">
      <x:c r="A553" s="9" t="str">
        <x:v>diagnostic-ols-regression</x:v>
      </x:c>
      <x:c r="B553" s="9" t="str">
        <x:v>SHA-256 sample_submission.csv</x:v>
      </x:c>
      <x:c r="C553" s="9" t="str">
        <x:v>0016b18d58c47bbbe842556b4957ba215b3ad50121c9923260537d936a09eae1</x:v>
      </x:c>
      <x:c r="D553" s="9" t="str">
        <x:v>reports/diagnostics/diagnostic-ols-regression.json</x:v>
      </x:c>
    </x:row>
    <x:row r="554" ht="34" customHeight="1">
      <x:c r="A554" s="9" t="str">
        <x:v>diagnostic-ols-regression</x:v>
      </x:c>
      <x:c r="B554" s="9" t="str">
        <x:v>Архивное происхождение</x:v>
      </x:c>
      <x:c r="C554" s="9" t="str">
        <x:v>Архивная диагностика до общего журнала; метрики сохранены, отдельный commit кода не записан.</x:v>
      </x:c>
      <x:c r="D554" s="9" t="str">
        <x:v>reports/diagnostics/diagnostic-ols-regression.json</x:v>
      </x:c>
    </x:row>
    <x:row r="555" ht="34" customHeight="1">
      <x:c r="A555" s="9" t="str">
        <x:v>technical-repository-check-multiclass</x:v>
      </x:c>
      <x:c r="B555" s="9" t="str">
        <x:v>Конфигурация по сохранившимся сведениям</x:v>
      </x:c>
      <x:c r="C555" s="9" t="str">
        <x:v>solver=lbfgs; max_iter=3000; random_state=42 (по коду первого этапа)</x:v>
      </x:c>
      <x:c r="D555" s="9" t="str">
        <x:v>reports/diagnostics/technical-repository-check-multiclass.json</x:v>
      </x:c>
    </x:row>
    <x:row r="556" ht="34" customHeight="1">
      <x:c r="A556" s="9" t="str">
        <x:v>technical-repository-check-multiclass</x:v>
      </x:c>
      <x:c r="B556" s="9" t="str">
        <x:v>split</x:v>
      </x:c>
      <x:c r="C556" s="9" t="str">
        <x:v>stratified 80/20; random_state=42</x:v>
      </x:c>
      <x:c r="D556" s="9" t="str">
        <x:v>reports/diagnostics/technical-repository-check-multiclass.json</x:v>
      </x:c>
    </x:row>
    <x:row r="557" ht="34" customHeight="1">
      <x:c r="A557" s="9" t="str">
        <x:v>technical-repository-check-multiclass</x:v>
      </x:c>
      <x:c r="B557" s="9" t="str">
        <x:v>seed</x:v>
      </x:c>
      <x:c r="C557" s="9" t="n">
        <x:v>42</x:v>
      </x:c>
      <x:c r="D557" s="9" t="str">
        <x:v>reports/diagnostics/technical-repository-check-multiclass.json</x:v>
      </x:c>
    </x:row>
    <x:row r="558" ht="34" customHeight="1">
      <x:c r="A558" s="9" t="str">
        <x:v>technical-repository-check-multiclass</x:v>
      </x:c>
      <x:c r="B558" s="9" t="str">
        <x:v>seconds (собственное время)</x:v>
      </x:c>
      <x:c r="C558" s="9" t="n">
        <x:v>23.97</x:v>
      </x:c>
      <x:c r="D558" s="9" t="str">
        <x:v>reports/diagnostics/technical-repository-check-multiclass.json</x:v>
      </x:c>
    </x:row>
    <x:row r="559" ht="34" customHeight="1">
      <x:c r="A559" s="9" t="str">
        <x:v>technical-repository-check-multiclass</x:v>
      </x:c>
      <x:c r="B559" s="9" t="str">
        <x:v>Примечание времени</x:v>
      </x:c>
      <x:c r="C559" s="9" t="str">
        <x:v>Полный запуск с финальным обучением, если не указано иное</x:v>
      </x:c>
      <x:c r="D559" s="9" t="str">
        <x:v>reports/diagnostics/technical-repository-check-multiclass.json</x:v>
      </x:c>
    </x:row>
    <x:row r="560" ht="34" customHeight="1">
      <x:c r="A560" s="9" t="str">
        <x:v>technical-repository-check-multiclass</x:v>
      </x:c>
      <x:c r="B560" s="9" t="str">
        <x:v>SHA-256 train.csv</x:v>
      </x:c>
      <x:c r="C560" s="9" t="str">
        <x:v>171a8915070b7575b729a32f70a45d1ad7b6f43c65b4ce12a0a68af30d5cb4e0</x:v>
      </x:c>
      <x:c r="D560" s="9" t="str">
        <x:v>reports/diagnostics/technical-repository-check-multiclass.json</x:v>
      </x:c>
    </x:row>
    <x:row r="561" ht="34" customHeight="1">
      <x:c r="A561" s="9" t="str">
        <x:v>technical-repository-check-multiclass</x:v>
      </x:c>
      <x:c r="B561" s="9" t="str">
        <x:v>SHA-256 test.csv</x:v>
      </x:c>
      <x:c r="C561" s="9" t="str">
        <x:v>b825449603931b5f05a8855e3d92b57775221c93ed4730ac6b4c75b9ea608862</x:v>
      </x:c>
      <x:c r="D561" s="9" t="str">
        <x:v>reports/diagnostics/technical-repository-check-multiclass.json</x:v>
      </x:c>
    </x:row>
    <x:row r="562" ht="34" customHeight="1">
      <x:c r="A562" s="9" t="str">
        <x:v>technical-repository-check-multiclass</x:v>
      </x:c>
      <x:c r="B562" s="9" t="str">
        <x:v>SHA-256 sample_submission.csv</x:v>
      </x:c>
      <x:c r="C562" s="9" t="str">
        <x:v>4d23642fcff01e49b0ef5a9f018b2381c12fad97282fa586285ad49b01e9623e</x:v>
      </x:c>
      <x:c r="D562" s="9" t="str">
        <x:v>reports/diagnostics/technical-repository-check-multiclass.json</x:v>
      </x:c>
    </x:row>
    <x:row r="563" ht="34" customHeight="1">
      <x:c r="A563" s="9" t="str">
        <x:v>technical-repository-check-multiclass</x:v>
      </x:c>
      <x:c r="B563" s="9" t="str">
        <x:v>Архивное происхождение</x:v>
      </x:c>
      <x:c r="C563" s="9" t="str">
        <x:v>Архивная диагностика до общего журнала; метрики сохранены, отдельный commit кода не записан.</x:v>
      </x:c>
      <x:c r="D563" s="9" t="str">
        <x:v>reports/diagnostics/technical-repository-check-multiclass.json</x:v>
      </x:c>
    </x:row>
    <x:row r="564" ht="34" customHeight="1">
      <x:c r="A564" s="9" t="str">
        <x:v>technical-repository-check-regression</x:v>
      </x:c>
      <x:c r="B564" s="9" t="str">
        <x:v>Конфигурация по сохранившимся сведениям</x:v>
      </x:c>
      <x:c r="C564" s="9" t="str">
        <x:v>alpha=1; solver=lsqr; tol=1e-6 (восстановлено по коду первого этапа)</x:v>
      </x:c>
      <x:c r="D564" s="9" t="str">
        <x:v>reports/diagnostics/technical-repository-check-regression.json</x:v>
      </x:c>
    </x:row>
    <x:row r="565" ht="34" customHeight="1">
      <x:c r="A565" s="9" t="str">
        <x:v>technical-repository-check-regression</x:v>
      </x:c>
      <x:c r="B565" s="9" t="str">
        <x:v>split</x:v>
      </x:c>
      <x:c r="C565" s="9" t="str">
        <x:v>Year_Factor &lt; 5 train; == 5 validation</x:v>
      </x:c>
      <x:c r="D565" s="9" t="str">
        <x:v>reports/diagnostics/technical-repository-check-regression.json</x:v>
      </x:c>
    </x:row>
    <x:row r="566" ht="34" customHeight="1">
      <x:c r="A566" s="9" t="str">
        <x:v>technical-repository-check-regression</x:v>
      </x:c>
      <x:c r="B566" s="9" t="str">
        <x:v>seed</x:v>
      </x:c>
      <x:c r="C566" s="9" t="n">
        <x:v>42</x:v>
      </x:c>
      <x:c r="D566" s="9" t="str">
        <x:v>reports/diagnostics/technical-repository-check-regression.json</x:v>
      </x:c>
    </x:row>
    <x:row r="567" ht="34" customHeight="1">
      <x:c r="A567" s="9" t="str">
        <x:v>technical-repository-check-regression</x:v>
      </x:c>
      <x:c r="B567" s="9" t="str">
        <x:v>seconds (собственное время)</x:v>
      </x:c>
      <x:c r="C567" s="9" t="n">
        <x:v>1.93</x:v>
      </x:c>
      <x:c r="D567" s="9" t="str">
        <x:v>reports/diagnostics/technical-repository-check-regression.json</x:v>
      </x:c>
    </x:row>
    <x:row r="568" ht="34" customHeight="1">
      <x:c r="A568" s="9" t="str">
        <x:v>technical-repository-check-regression</x:v>
      </x:c>
      <x:c r="B568" s="9" t="str">
        <x:v>Примечание времени</x:v>
      </x:c>
      <x:c r="C568" s="9" t="str">
        <x:v>Полный запуск с финальным обучением, если не указано иное</x:v>
      </x:c>
      <x:c r="D568" s="9" t="str">
        <x:v>reports/diagnostics/technical-repository-check-regression.json</x:v>
      </x:c>
    </x:row>
    <x:row r="569" ht="34" customHeight="1">
      <x:c r="A569" s="9" t="str">
        <x:v>technical-repository-check-regression</x:v>
      </x:c>
      <x:c r="B569" s="9" t="str">
        <x:v>SHA-256 train.csv</x:v>
      </x:c>
      <x:c r="C569" s="9" t="str">
        <x:v>096dac951cf44fade5417ddd0465c41beee3009663dbea34e8d464a4d3c7f775</x:v>
      </x:c>
      <x:c r="D569" s="9" t="str">
        <x:v>reports/diagnostics/technical-repository-check-regression.json</x:v>
      </x:c>
    </x:row>
    <x:row r="570" ht="34" customHeight="1">
      <x:c r="A570" s="9" t="str">
        <x:v>technical-repository-check-regression</x:v>
      </x:c>
      <x:c r="B570" s="9" t="str">
        <x:v>SHA-256 test.csv</x:v>
      </x:c>
      <x:c r="C570" s="9" t="str">
        <x:v>a7c64db92a07e1a5b1e7f637bdd434da7a5e98a1676c854ec6a645c9e5827095</x:v>
      </x:c>
      <x:c r="D570" s="9" t="str">
        <x:v>reports/diagnostics/technical-repository-check-regression.json</x:v>
      </x:c>
    </x:row>
    <x:row r="571" ht="34" customHeight="1">
      <x:c r="A571" s="9" t="str">
        <x:v>technical-repository-check-regression</x:v>
      </x:c>
      <x:c r="B571" s="9" t="str">
        <x:v>SHA-256 sample_submission.csv</x:v>
      </x:c>
      <x:c r="C571" s="9" t="str">
        <x:v>0016b18d58c47bbbe842556b4957ba215b3ad50121c9923260537d936a09eae1</x:v>
      </x:c>
      <x:c r="D571" s="9" t="str">
        <x:v>reports/diagnostics/technical-repository-check-regression.json</x:v>
      </x:c>
    </x:row>
    <x:row r="572" ht="34" customHeight="1">
      <x:c r="A572" s="9" t="str">
        <x:v>technical-repository-check-regression</x:v>
      </x:c>
      <x:c r="B572" s="9" t="str">
        <x:v>Архивное происхождение</x:v>
      </x:c>
      <x:c r="C572" s="9" t="str">
        <x:v>Архивная диагностика до общего журнала; метрики сохранены, отдельный commit кода не записан.</x:v>
      </x:c>
      <x:c r="D572" s="9" t="str">
        <x:v>reports/diagnostics/technical-repository-check-regression.json</x:v>
      </x:c>
    </x:row>
    <x:row r="573" ht="34" customHeight="1">
      <x:c r="A573" s="9" t="str">
        <x:v>technical-verified-multiclass</x:v>
      </x:c>
      <x:c r="B573" s="9" t="str">
        <x:v>Конфигурация по сохранившимся сведениям</x:v>
      </x:c>
      <x:c r="C573" s="9" t="str">
        <x:v>solver=lbfgs; max_iter=3000; random_state=42 (по коду первого этапа)</x:v>
      </x:c>
      <x:c r="D573" s="9" t="str">
        <x:v>reports/diagnostics/technical-verified-multiclass.json</x:v>
      </x:c>
    </x:row>
    <x:row r="574" ht="34" customHeight="1">
      <x:c r="A574" s="9" t="str">
        <x:v>technical-verified-multiclass</x:v>
      </x:c>
      <x:c r="B574" s="9" t="str">
        <x:v>split</x:v>
      </x:c>
      <x:c r="C574" s="9" t="str">
        <x:v>stratified 80/20; random_state=42</x:v>
      </x:c>
      <x:c r="D574" s="9" t="str">
        <x:v>reports/diagnostics/technical-verified-multiclass.json</x:v>
      </x:c>
    </x:row>
    <x:row r="575" ht="34" customHeight="1">
      <x:c r="A575" s="9" t="str">
        <x:v>technical-verified-multiclass</x:v>
      </x:c>
      <x:c r="B575" s="9" t="str">
        <x:v>seed</x:v>
      </x:c>
      <x:c r="C575" s="9" t="n">
        <x:v>42</x:v>
      </x:c>
      <x:c r="D575" s="9" t="str">
        <x:v>reports/diagnostics/technical-verified-multiclass.json</x:v>
      </x:c>
    </x:row>
    <x:row r="576" ht="34" customHeight="1">
      <x:c r="A576" s="9" t="str">
        <x:v>technical-verified-multiclass</x:v>
      </x:c>
      <x:c r="B576" s="9" t="str">
        <x:v>seconds (собственное время)</x:v>
      </x:c>
      <x:c r="C576" s="9" t="n">
        <x:v>24.04</x:v>
      </x:c>
      <x:c r="D576" s="9" t="str">
        <x:v>reports/diagnostics/technical-verified-multiclass.json</x:v>
      </x:c>
    </x:row>
    <x:row r="577" ht="34" customHeight="1">
      <x:c r="A577" s="9" t="str">
        <x:v>technical-verified-multiclass</x:v>
      </x:c>
      <x:c r="B577" s="9" t="str">
        <x:v>Примечание времени</x:v>
      </x:c>
      <x:c r="C577" s="9" t="str">
        <x:v>Полный запуск с финальным обучением, если не указано иное</x:v>
      </x:c>
      <x:c r="D577" s="9" t="str">
        <x:v>reports/diagnostics/technical-verified-multiclass.json</x:v>
      </x:c>
    </x:row>
    <x:row r="578" ht="34" customHeight="1">
      <x:c r="A578" s="9" t="str">
        <x:v>technical-verified-multiclass</x:v>
      </x:c>
      <x:c r="B578" s="9" t="str">
        <x:v>SHA-256 train.csv</x:v>
      </x:c>
      <x:c r="C578" s="9" t="str">
        <x:v>171a8915070b7575b729a32f70a45d1ad7b6f43c65b4ce12a0a68af30d5cb4e0</x:v>
      </x:c>
      <x:c r="D578" s="9" t="str">
        <x:v>reports/diagnostics/technical-verified-multiclass.json</x:v>
      </x:c>
    </x:row>
    <x:row r="579" ht="34" customHeight="1">
      <x:c r="A579" s="9" t="str">
        <x:v>technical-verified-multiclass</x:v>
      </x:c>
      <x:c r="B579" s="9" t="str">
        <x:v>SHA-256 test.csv</x:v>
      </x:c>
      <x:c r="C579" s="9" t="str">
        <x:v>b825449603931b5f05a8855e3d92b57775221c93ed4730ac6b4c75b9ea608862</x:v>
      </x:c>
      <x:c r="D579" s="9" t="str">
        <x:v>reports/diagnostics/technical-verified-multiclass.json</x:v>
      </x:c>
    </x:row>
    <x:row r="580" ht="34" customHeight="1">
      <x:c r="A580" s="9" t="str">
        <x:v>technical-verified-multiclass</x:v>
      </x:c>
      <x:c r="B580" s="9" t="str">
        <x:v>SHA-256 sample_submission.csv</x:v>
      </x:c>
      <x:c r="C580" s="9" t="str">
        <x:v>4d23642fcff01e49b0ef5a9f018b2381c12fad97282fa586285ad49b01e9623e</x:v>
      </x:c>
      <x:c r="D580" s="9" t="str">
        <x:v>reports/diagnostics/technical-verified-multiclass.json</x:v>
      </x:c>
    </x:row>
    <x:row r="581" ht="34" customHeight="1">
      <x:c r="A581" s="9" t="str">
        <x:v>technical-verified-multiclass</x:v>
      </x:c>
      <x:c r="B581" s="9" t="str">
        <x:v>Архивное происхождение</x:v>
      </x:c>
      <x:c r="C581" s="9" t="str">
        <x:v>Архивная диагностика до общего журнала; метрики сохранены, отдельный commit кода не записан.</x:v>
      </x:c>
      <x:c r="D581" s="9" t="str">
        <x:v>reports/diagnostics/technical-verified-multiclass.json</x:v>
      </x:c>
    </x:row>
    <x:row r="582" ht="34" customHeight="1">
      <x:c r="A582" s="9" t="str">
        <x:v>technical-verified-regression</x:v>
      </x:c>
      <x:c r="B582" s="9" t="str">
        <x:v>Конфигурация по сохранившимся сведениям</x:v>
      </x:c>
      <x:c r="C582" s="9" t="str">
        <x:v>alpha=1; solver=lsqr; tol=1e-6 (восстановлено по коду первого этапа)</x:v>
      </x:c>
      <x:c r="D582" s="9" t="str">
        <x:v>reports/diagnostics/technical-verified-regression.json</x:v>
      </x:c>
    </x:row>
    <x:row r="583" ht="34" customHeight="1">
      <x:c r="A583" s="9" t="str">
        <x:v>technical-verified-regression</x:v>
      </x:c>
      <x:c r="B583" s="9" t="str">
        <x:v>split</x:v>
      </x:c>
      <x:c r="C583" s="9" t="str">
        <x:v>Year_Factor &lt; 5 train; == 5 validation</x:v>
      </x:c>
      <x:c r="D583" s="9" t="str">
        <x:v>reports/diagnostics/technical-verified-regression.json</x:v>
      </x:c>
    </x:row>
    <x:row r="584" ht="34" customHeight="1">
      <x:c r="A584" s="9" t="str">
        <x:v>technical-verified-regression</x:v>
      </x:c>
      <x:c r="B584" s="9" t="str">
        <x:v>seed</x:v>
      </x:c>
      <x:c r="C584" s="9" t="n">
        <x:v>42</x:v>
      </x:c>
      <x:c r="D584" s="9" t="str">
        <x:v>reports/diagnostics/technical-verified-regression.json</x:v>
      </x:c>
    </x:row>
    <x:row r="585" ht="34" customHeight="1">
      <x:c r="A585" s="9" t="str">
        <x:v>technical-verified-regression</x:v>
      </x:c>
      <x:c r="B585" s="9" t="str">
        <x:v>seconds (собственное время)</x:v>
      </x:c>
      <x:c r="C585" s="9" t="n">
        <x:v>1.53</x:v>
      </x:c>
      <x:c r="D585" s="9" t="str">
        <x:v>reports/diagnostics/technical-verified-regression.json</x:v>
      </x:c>
    </x:row>
    <x:row r="586" ht="34" customHeight="1">
      <x:c r="A586" s="9" t="str">
        <x:v>technical-verified-regression</x:v>
      </x:c>
      <x:c r="B586" s="9" t="str">
        <x:v>Примечание времени</x:v>
      </x:c>
      <x:c r="C586" s="9" t="str">
        <x:v>Полный запуск с финальным обучением, если не указано иное</x:v>
      </x:c>
      <x:c r="D586" s="9" t="str">
        <x:v>reports/diagnostics/technical-verified-regression.json</x:v>
      </x:c>
    </x:row>
    <x:row r="587" ht="34" customHeight="1">
      <x:c r="A587" s="9" t="str">
        <x:v>technical-verified-regression</x:v>
      </x:c>
      <x:c r="B587" s="9" t="str">
        <x:v>SHA-256 train.csv</x:v>
      </x:c>
      <x:c r="C587" s="9" t="str">
        <x:v>096dac951cf44fade5417ddd0465c41beee3009663dbea34e8d464a4d3c7f775</x:v>
      </x:c>
      <x:c r="D587" s="9" t="str">
        <x:v>reports/diagnostics/technical-verified-regression.json</x:v>
      </x:c>
    </x:row>
    <x:row r="588" ht="34" customHeight="1">
      <x:c r="A588" s="9" t="str">
        <x:v>technical-verified-regression</x:v>
      </x:c>
      <x:c r="B588" s="9" t="str">
        <x:v>SHA-256 test.csv</x:v>
      </x:c>
      <x:c r="C588" s="9" t="str">
        <x:v>a7c64db92a07e1a5b1e7f637bdd434da7a5e98a1676c854ec6a645c9e5827095</x:v>
      </x:c>
      <x:c r="D588" s="9" t="str">
        <x:v>reports/diagnostics/technical-verified-regression.json</x:v>
      </x:c>
    </x:row>
    <x:row r="589" ht="34" customHeight="1">
      <x:c r="A589" s="9" t="str">
        <x:v>technical-verified-regression</x:v>
      </x:c>
      <x:c r="B589" s="9" t="str">
        <x:v>SHA-256 sample_submission.csv</x:v>
      </x:c>
      <x:c r="C589" s="9" t="str">
        <x:v>0016b18d58c47bbbe842556b4957ba215b3ad50121c9923260537d936a09eae1</x:v>
      </x:c>
      <x:c r="D589" s="9" t="str">
        <x:v>reports/diagnostics/technical-verified-regression.json</x:v>
      </x:c>
    </x:row>
    <x:row r="590" ht="34" customHeight="1">
      <x:c r="A590" s="9" t="str">
        <x:v>technical-verified-regression</x:v>
      </x:c>
      <x:c r="B590" s="9" t="str">
        <x:v>Архивное происхождение</x:v>
      </x:c>
      <x:c r="C590" s="9" t="str">
        <x:v>Архивная диагностика до общего журнала; метрики сохранены, отдельный commit кода не записан.</x:v>
      </x:c>
      <x:c r="D590" s="9" t="str">
        <x:v>reports/diagnostics/technical-verified-regression.json</x:v>
      </x:c>
    </x:row>
  </x:sheetData>
  <x:pageMargins left="0.7" right="0.7" top="0.75" bottom="0.75" header="0.3" footer="0.3"/>
  <x:tableParts count="1">
    <x:tablePart xmlns:r="http://schemas.openxmlformats.org/officeDocument/2006/relationships" r:id="R8424ecbc14e448ed"/>
  </x:tableParts>
</x:worksheet>
</file>